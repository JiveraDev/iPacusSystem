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View" sheetId="1" state="visible" r:id="rId1"/>
    <sheet xmlns:r="http://schemas.openxmlformats.org/officeDocument/2006/relationships" name="Updated Gant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Sources" sheetId="4" state="visible" r:id="rId4"/>
  </sheets>
  <definedNames>
    <definedName name="_xlnm.Print_Area" localSheetId="0">'Executive View'!$A$1:$P$32</definedName>
    <definedName name="_xlnm._FilterDatabase" localSheetId="1" hidden="1">'Updated Gantt'!$A$5:$AV$20</definedName>
    <definedName name="_xlnm.Print_Area" localSheetId="1">'Updated Gantt'!$A$1:$AV$20</definedName>
    <definedName name="_xlnm._FilterDatabase" localSheetId="2" hidden="1">'History'!$A$1:$N$16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m d, yyyy"/>
    <numFmt numFmtId="166" formatCode="mmm yyyy"/>
    <numFmt numFmtId="167" formatCode="mmm"/>
    <numFmt numFmtId="168" formatCode="mmm d"/>
    <numFmt numFmtId="169" formatCode="yyyy-mm-dd h:mm:ss"/>
    <numFmt numFmtId="170" formatCode="mmm d, yyyy h:mm AM/PM"/>
  </numFmts>
  <fonts count="37">
    <font>
      <name val="Calibri"/>
      <family val="2"/>
      <color theme="1"/>
      <sz val="11"/>
      <scheme val="minor"/>
    </font>
    <font>
      <name val="Aptos"/>
      <b val="1"/>
      <color rgb="000F766E"/>
      <sz val="10"/>
    </font>
    <font>
      <name val="Aptos"/>
      <b val="1"/>
      <color rgb="002563EB"/>
      <sz val="10"/>
    </font>
    <font>
      <name val="Aptos"/>
      <b val="1"/>
      <color rgb="00D97706"/>
      <sz val="10"/>
    </font>
    <font>
      <name val="Aptos"/>
      <b val="1"/>
      <color rgb="00EA580C"/>
      <sz val="10"/>
    </font>
    <font>
      <name val="Aptos"/>
      <b val="1"/>
      <color rgb="007C3AED"/>
      <sz val="10"/>
    </font>
    <font>
      <name val="Aptos"/>
      <b val="1"/>
      <color rgb="00DB2777"/>
      <sz val="10"/>
    </font>
    <font>
      <name val="Aptos"/>
      <b val="1"/>
      <color rgb="00475569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name val="Aptos"/>
      <i val="1"/>
      <color rgb="00334155"/>
      <sz val="10"/>
    </font>
    <font>
      <name val="Aptos"/>
      <b val="1"/>
      <color rgb="000F172A"/>
      <sz val="10"/>
    </font>
    <font>
      <name val="Aptos"/>
      <b val="1"/>
      <color rgb="000F766E"/>
      <sz val="13"/>
    </font>
    <font>
      <name val="Aptos"/>
      <b val="1"/>
      <color rgb="002563EB"/>
      <sz val="13"/>
    </font>
    <font>
      <name val="Aptos"/>
      <b val="1"/>
      <color rgb="00D97706"/>
      <sz val="13"/>
    </font>
    <font>
      <name val="Aptos"/>
      <b val="1"/>
      <color rgb="00EA580C"/>
      <sz val="13"/>
    </font>
    <font>
      <name val="Aptos"/>
      <b val="1"/>
      <color rgb="007C3AED"/>
      <sz val="13"/>
    </font>
    <font>
      <name val="Aptos"/>
      <b val="1"/>
      <color rgb="00DB2777"/>
      <sz val="13"/>
    </font>
    <font>
      <name val="Aptos"/>
      <b val="1"/>
      <color rgb="00475569"/>
      <sz val="13"/>
    </font>
    <font>
      <name val="Aptos"/>
      <b val="1"/>
      <color rgb="00FFFFFF"/>
      <sz val="9"/>
    </font>
    <font>
      <name val="Aptos"/>
      <b val="1"/>
      <color rgb="00334155"/>
      <sz val="9"/>
    </font>
    <font>
      <name val="Aptos Display"/>
      <b val="1"/>
      <color rgb="00FFFFFF"/>
      <sz val="22"/>
    </font>
    <font>
      <name val="Aptos"/>
      <color rgb="00334155"/>
      <sz val="10"/>
    </font>
    <font>
      <name val="Aptos Display"/>
      <b val="1"/>
      <color rgb="000F172A"/>
      <sz val="24"/>
    </font>
    <font>
      <name val="Aptos Display"/>
      <b val="1"/>
      <color rgb="000F172A"/>
      <sz val="16"/>
    </font>
    <font>
      <name val="Aptos Display"/>
      <b val="1"/>
      <color rgb="000F172A"/>
      <sz val="22"/>
    </font>
    <font>
      <name val="Aptos"/>
      <b val="1"/>
      <color rgb="000F172A"/>
      <sz val="13"/>
    </font>
    <font>
      <name val="Aptos"/>
      <b val="1"/>
      <color rgb="000F766E"/>
      <sz val="9"/>
    </font>
    <font>
      <name val="Aptos"/>
      <b val="1"/>
      <color rgb="002563EB"/>
      <sz val="9"/>
    </font>
    <font>
      <name val="Aptos"/>
      <b val="1"/>
      <color rgb="00D97706"/>
      <sz val="9"/>
    </font>
    <font>
      <name val="Aptos"/>
      <b val="1"/>
      <color rgb="00EA580C"/>
      <sz val="9"/>
    </font>
    <font>
      <name val="Aptos"/>
      <b val="1"/>
      <color rgb="007C3AED"/>
      <sz val="9"/>
    </font>
    <font>
      <name val="Aptos"/>
      <b val="1"/>
      <color rgb="00DB2777"/>
      <sz val="9"/>
    </font>
    <font>
      <name val="Aptos"/>
      <b val="1"/>
      <color rgb="00475569"/>
      <sz val="9"/>
    </font>
    <font>
      <name val="Aptos"/>
      <color rgb="009A3412"/>
      <sz val="10"/>
    </font>
    <font>
      <name val="Aptos Display"/>
      <b val="1"/>
      <color rgb="00FFFFFF"/>
      <sz val="18"/>
    </font>
    <font>
      <name val="Aptos"/>
      <b val="1"/>
      <color rgb="000F172A"/>
      <sz val="11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FF1F2"/>
      </patternFill>
    </fill>
    <fill>
      <patternFill patternType="solid">
        <fgColor rgb="00BE123C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D97706"/>
      </patternFill>
    </fill>
    <fill>
      <patternFill patternType="solid">
        <fgColor rgb="00EA580C"/>
      </patternFill>
    </fill>
    <fill>
      <patternFill patternType="solid">
        <fgColor rgb="007C3AED"/>
      </patternFill>
    </fill>
    <fill>
      <patternFill patternType="solid">
        <fgColor rgb="00DB2777"/>
      </patternFill>
    </fill>
    <fill>
      <patternFill patternType="solid">
        <fgColor rgb="00475569"/>
      </patternFill>
    </fill>
    <fill>
      <patternFill patternType="solid">
        <fgColor rgb="00FFF7ED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BE123C"/>
      </left>
      <right style="medium">
        <color rgb="00BE123C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21" fillId="2" borderId="0" applyAlignment="1" pivotButton="0" quotePrefix="0" xfId="0">
      <alignment vertical="center"/>
    </xf>
    <xf numFmtId="0" fontId="22" fillId="3" borderId="0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165" fontId="25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0" borderId="0" pivotButton="0" quotePrefix="0" xfId="0"/>
    <xf numFmtId="0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30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3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1" fillId="0" borderId="0" pivotButton="0" quotePrefix="0" xfId="0"/>
    <xf numFmtId="0" fontId="19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34" fillId="15" borderId="3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6" fontId="20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16" fontId="19" fillId="5" borderId="1" applyAlignment="1" pivotButton="0" quotePrefix="0" xfId="0">
      <alignment horizontal="center" vertical="center" textRotation="90"/>
    </xf>
    <xf numFmtId="16" fontId="19" fillId="7" borderId="2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7" fillId="0" borderId="2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8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5" fillId="2" borderId="0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vertical="top" wrapText="1"/>
    </xf>
    <xf numFmtId="0" fontId="36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00475569"/>
      </font>
      <fill>
        <patternFill patternType="solid">
          <fgColor rgb="00F1F5F9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1D4ED8"/>
      </font>
      <fill>
        <patternFill patternType="solid">
          <fgColor rgb="00DBEAFE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GanttHistory" displayName="GanttHistory" ref="A1:N16" headerRowCount="1">
  <autoFilter ref="A1:N16"/>
  <tableColumns count="14">
    <tableColumn id="1" name="ID"/>
    <tableColumn id="2" name="Phase"/>
    <tableColumn id="3" name="Task"/>
    <tableColumn id="4" name="Planned Start"/>
    <tableColumn id="5" name="Planned End"/>
    <tableColumn id="6" name="Duration (days)"/>
    <tableColumn id="7" name="Original Period Label"/>
    <tableColumn id="8" name="Source Workbook"/>
    <tableColumn id="9" name="Source Sheet"/>
    <tableColumn id="10" name="Source Cell/Span"/>
    <tableColumn id="11" name="Date Basis"/>
    <tableColumn id="12" name="Increment"/>
    <tableColumn id="13" name="Reported Status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="85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</cols>
  <sheetData>
    <row r="1" ht="38" customHeight="1">
      <c r="A1" s="1" t="inlineStr">
        <is>
          <t>iPawcus Project Timeline - Updated 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4" customHeight="1">
      <c r="A2" s="2" t="inlineStr">
        <is>
          <t>As of September 21, 2026 | Consolidated from two located workbook sources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2" customHeight="1">
      <c r="A3" s="3" t="inlineStr">
        <is>
          <t>TASKS FOUND</t>
        </is>
      </c>
      <c r="B3" s="3" t="n"/>
      <c r="C3" s="3" t="n"/>
      <c r="D3" s="3" t="n"/>
      <c r="E3" s="3" t="inlineStr">
        <is>
          <t>HISTORY WINDOW</t>
        </is>
      </c>
      <c r="F3" s="3" t="n"/>
      <c r="G3" s="3" t="n"/>
      <c r="H3" s="3" t="n"/>
      <c r="I3" s="3" t="inlineStr">
        <is>
          <t>LATEST PLANNED END</t>
        </is>
      </c>
      <c r="J3" s="3" t="n"/>
      <c r="K3" s="3" t="n"/>
      <c r="L3" s="3" t="n"/>
      <c r="M3" s="3" t="inlineStr">
        <is>
          <t>SOURCE FILES</t>
        </is>
      </c>
      <c r="N3" s="3" t="n"/>
      <c r="O3" s="3" t="n"/>
      <c r="P3" s="3" t="n"/>
    </row>
    <row r="4" ht="22" customHeight="1">
      <c r="A4" s="4">
        <f>COUNTA('History'!A2:A16)</f>
        <v/>
      </c>
      <c r="B4" s="4" t="n"/>
      <c r="C4" s="4" t="n"/>
      <c r="D4" s="4" t="n"/>
      <c r="E4" s="5">
        <f>TEXT(MIN('History'!D2:D16),"mmm yyyy")&amp;" - "&amp;TEXT(MAX('History'!E2:E16),"mmm yyyy")</f>
        <v/>
      </c>
      <c r="F4" s="5" t="n"/>
      <c r="G4" s="5" t="n"/>
      <c r="H4" s="5" t="n"/>
      <c r="I4" s="6">
        <f>MAX('History'!E2:E16)</f>
        <v/>
      </c>
      <c r="J4" s="7" t="n"/>
      <c r="K4" s="7" t="n"/>
      <c r="L4" s="7" t="n"/>
      <c r="M4" s="4">
        <f>2</f>
        <v/>
      </c>
      <c r="N4" s="4" t="n"/>
      <c r="O4" s="4" t="n"/>
      <c r="P4" s="4" t="n"/>
    </row>
    <row r="5" ht="22" customHeight="1">
      <c r="A5" s="4" t="n"/>
      <c r="B5" s="4" t="n"/>
      <c r="C5" s="4" t="n"/>
      <c r="D5" s="4" t="n"/>
      <c r="E5" s="5" t="n"/>
      <c r="F5" s="5" t="n"/>
      <c r="G5" s="5" t="n"/>
      <c r="H5" s="5" t="n"/>
      <c r="I5" s="7" t="n"/>
      <c r="J5" s="7" t="n"/>
      <c r="K5" s="7" t="n"/>
      <c r="L5" s="7" t="n"/>
      <c r="M5" s="4" t="n"/>
      <c r="N5" s="4" t="n"/>
      <c r="O5" s="4" t="n"/>
      <c r="P5" s="4" t="n"/>
    </row>
    <row r="6" ht="22" customHeight="1">
      <c r="A6" s="4" t="n"/>
      <c r="B6" s="4" t="n"/>
      <c r="C6" s="4" t="n"/>
      <c r="D6" s="4" t="n"/>
      <c r="E6" s="5" t="n"/>
      <c r="F6" s="5" t="n"/>
      <c r="G6" s="5" t="n"/>
      <c r="H6" s="5" t="n"/>
      <c r="I6" s="7" t="n"/>
      <c r="J6" s="7" t="n"/>
      <c r="K6" s="7" t="n"/>
      <c r="L6" s="7" t="n"/>
      <c r="M6" s="4" t="n"/>
      <c r="N6" s="4" t="n"/>
      <c r="O6" s="4" t="n"/>
      <c r="P6" s="4" t="n"/>
    </row>
    <row r="7" ht="22" customHeight="1">
      <c r="A7" s="4" t="n"/>
      <c r="B7" s="4" t="n"/>
      <c r="C7" s="4" t="n"/>
      <c r="D7" s="4" t="n"/>
      <c r="E7" s="5" t="n"/>
      <c r="F7" s="5" t="n"/>
      <c r="G7" s="5" t="n"/>
      <c r="H7" s="5" t="n"/>
      <c r="I7" s="7" t="n"/>
      <c r="J7" s="7" t="n"/>
      <c r="K7" s="7" t="n"/>
      <c r="L7" s="7" t="n"/>
      <c r="M7" s="4" t="n"/>
      <c r="N7" s="4" t="n"/>
      <c r="O7" s="4" t="n"/>
      <c r="P7" s="4" t="n"/>
    </row>
    <row r="9">
      <c r="A9" s="8" t="inlineStr">
        <is>
          <t>Formula-driven monthly overview of the historical plan</t>
        </is>
      </c>
    </row>
    <row r="10">
      <c r="A10" s="9" t="inlineStr">
        <is>
          <t>Task</t>
        </is>
      </c>
      <c r="B10" s="9" t="n"/>
      <c r="C10" s="9" t="n"/>
      <c r="D10" s="9" t="inlineStr">
        <is>
          <t>Phase</t>
        </is>
      </c>
      <c r="E10" s="9" t="n"/>
      <c r="F10" s="9" t="inlineStr">
        <is>
          <t>Start</t>
        </is>
      </c>
      <c r="G10" s="9" t="inlineStr">
        <is>
          <t>End</t>
        </is>
      </c>
      <c r="H10" s="10" t="n">
        <v>46023</v>
      </c>
      <c r="I10" s="10" t="n">
        <v>46054</v>
      </c>
      <c r="J10" s="10" t="n">
        <v>46082</v>
      </c>
      <c r="K10" s="10" t="n">
        <v>46113</v>
      </c>
      <c r="L10" s="10" t="n">
        <v>46143</v>
      </c>
      <c r="M10" s="10" t="n">
        <v>46174</v>
      </c>
      <c r="N10" s="10" t="n">
        <v>46204</v>
      </c>
      <c r="O10" s="10" t="n">
        <v>46235</v>
      </c>
      <c r="P10" s="10" t="n">
        <v>46266</v>
      </c>
    </row>
    <row r="11" ht="28" customHeight="1">
      <c r="A11" s="11">
        <f>'History'!C2</f>
        <v/>
      </c>
      <c r="B11" s="11" t="n"/>
      <c r="C11" s="11" t="n"/>
      <c r="D11" s="12">
        <f>'History'!B2</f>
        <v/>
      </c>
      <c r="E11" s="11" t="n"/>
      <c r="F11" s="13">
        <f>'History'!D2</f>
        <v/>
      </c>
      <c r="G11" s="13">
        <f>'History'!E2</f>
        <v/>
      </c>
      <c r="H11" s="14">
        <f>IF(AND(EOMONTH(H$10,0)&gt;=$F11,H$10&lt;=$G11),"■","")</f>
        <v/>
      </c>
      <c r="I11" s="14">
        <f>IF(AND(EOMONTH(I$10,0)&gt;=$F11,I$10&lt;=$G11),"■","")</f>
        <v/>
      </c>
      <c r="J11" s="14">
        <f>IF(AND(EOMONTH(J$10,0)&gt;=$F11,J$10&lt;=$G11),"■","")</f>
        <v/>
      </c>
      <c r="K11" s="14">
        <f>IF(AND(EOMONTH(K$10,0)&gt;=$F11,K$10&lt;=$G11),"■","")</f>
        <v/>
      </c>
      <c r="L11" s="14">
        <f>IF(AND(EOMONTH(L$10,0)&gt;=$F11,L$10&lt;=$G11),"■","")</f>
        <v/>
      </c>
      <c r="M11" s="14">
        <f>IF(AND(EOMONTH(M$10,0)&gt;=$F11,M$10&lt;=$G11),"■","")</f>
        <v/>
      </c>
      <c r="N11" s="14">
        <f>IF(AND(EOMONTH(N$10,0)&gt;=$F11,N$10&lt;=$G11),"■","")</f>
        <v/>
      </c>
      <c r="O11" s="14">
        <f>IF(AND(EOMONTH(O$10,0)&gt;=$F11,O$10&lt;=$G11),"■","")</f>
        <v/>
      </c>
      <c r="P11" s="14">
        <f>IF(AND(EOMONTH(P$10,0)&gt;=$F11,P$10&lt;=$G11),"■","")</f>
        <v/>
      </c>
    </row>
    <row r="12" ht="28" customHeight="1">
      <c r="A12" s="11">
        <f>'History'!C3</f>
        <v/>
      </c>
      <c r="B12" s="11" t="n"/>
      <c r="C12" s="11" t="n"/>
      <c r="D12" s="12">
        <f>'History'!B3</f>
        <v/>
      </c>
      <c r="E12" s="11" t="n"/>
      <c r="F12" s="13">
        <f>'History'!D3</f>
        <v/>
      </c>
      <c r="G12" s="13">
        <f>'History'!E3</f>
        <v/>
      </c>
      <c r="H12" s="14">
        <f>IF(AND(EOMONTH(H$10,0)&gt;=$F12,H$10&lt;=$G12),"■","")</f>
        <v/>
      </c>
      <c r="I12" s="14">
        <f>IF(AND(EOMONTH(I$10,0)&gt;=$F12,I$10&lt;=$G12),"■","")</f>
        <v/>
      </c>
      <c r="J12" s="14">
        <f>IF(AND(EOMONTH(J$10,0)&gt;=$F12,J$10&lt;=$G12),"■","")</f>
        <v/>
      </c>
      <c r="K12" s="14">
        <f>IF(AND(EOMONTH(K$10,0)&gt;=$F12,K$10&lt;=$G12),"■","")</f>
        <v/>
      </c>
      <c r="L12" s="14">
        <f>IF(AND(EOMONTH(L$10,0)&gt;=$F12,L$10&lt;=$G12),"■","")</f>
        <v/>
      </c>
      <c r="M12" s="14">
        <f>IF(AND(EOMONTH(M$10,0)&gt;=$F12,M$10&lt;=$G12),"■","")</f>
        <v/>
      </c>
      <c r="N12" s="14">
        <f>IF(AND(EOMONTH(N$10,0)&gt;=$F12,N$10&lt;=$G12),"■","")</f>
        <v/>
      </c>
      <c r="O12" s="14">
        <f>IF(AND(EOMONTH(O$10,0)&gt;=$F12,O$10&lt;=$G12),"■","")</f>
        <v/>
      </c>
      <c r="P12" s="14">
        <f>IF(AND(EOMONTH(P$10,0)&gt;=$F12,P$10&lt;=$G12),"■","")</f>
        <v/>
      </c>
    </row>
    <row r="13" ht="28" customHeight="1">
      <c r="A13" s="11">
        <f>'History'!C4</f>
        <v/>
      </c>
      <c r="B13" s="11" t="n"/>
      <c r="C13" s="11" t="n"/>
      <c r="D13" s="12">
        <f>'History'!B4</f>
        <v/>
      </c>
      <c r="E13" s="11" t="n"/>
      <c r="F13" s="13">
        <f>'History'!D4</f>
        <v/>
      </c>
      <c r="G13" s="13">
        <f>'History'!E4</f>
        <v/>
      </c>
      <c r="H13" s="14">
        <f>IF(AND(EOMONTH(H$10,0)&gt;=$F13,H$10&lt;=$G13),"■","")</f>
        <v/>
      </c>
      <c r="I13" s="14">
        <f>IF(AND(EOMONTH(I$10,0)&gt;=$F13,I$10&lt;=$G13),"■","")</f>
        <v/>
      </c>
      <c r="J13" s="14">
        <f>IF(AND(EOMONTH(J$10,0)&gt;=$F13,J$10&lt;=$G13),"■","")</f>
        <v/>
      </c>
      <c r="K13" s="14">
        <f>IF(AND(EOMONTH(K$10,0)&gt;=$F13,K$10&lt;=$G13),"■","")</f>
        <v/>
      </c>
      <c r="L13" s="14">
        <f>IF(AND(EOMONTH(L$10,0)&gt;=$F13,L$10&lt;=$G13),"■","")</f>
        <v/>
      </c>
      <c r="M13" s="14">
        <f>IF(AND(EOMONTH(M$10,0)&gt;=$F13,M$10&lt;=$G13),"■","")</f>
        <v/>
      </c>
      <c r="N13" s="14">
        <f>IF(AND(EOMONTH(N$10,0)&gt;=$F13,N$10&lt;=$G13),"■","")</f>
        <v/>
      </c>
      <c r="O13" s="14">
        <f>IF(AND(EOMONTH(O$10,0)&gt;=$F13,O$10&lt;=$G13),"■","")</f>
        <v/>
      </c>
      <c r="P13" s="14">
        <f>IF(AND(EOMONTH(P$10,0)&gt;=$F13,P$10&lt;=$G13),"■","")</f>
        <v/>
      </c>
    </row>
    <row r="14" ht="28" customHeight="1">
      <c r="A14" s="11">
        <f>'History'!C5</f>
        <v/>
      </c>
      <c r="B14" s="11" t="n"/>
      <c r="C14" s="11" t="n"/>
      <c r="D14" s="15">
        <f>'History'!B5</f>
        <v/>
      </c>
      <c r="E14" s="11" t="n"/>
      <c r="F14" s="13">
        <f>'History'!D5</f>
        <v/>
      </c>
      <c r="G14" s="13">
        <f>'History'!E5</f>
        <v/>
      </c>
      <c r="H14" s="16">
        <f>IF(AND(EOMONTH(H$10,0)&gt;=$F14,H$10&lt;=$G14),"■","")</f>
        <v/>
      </c>
      <c r="I14" s="16">
        <f>IF(AND(EOMONTH(I$10,0)&gt;=$F14,I$10&lt;=$G14),"■","")</f>
        <v/>
      </c>
      <c r="J14" s="16">
        <f>IF(AND(EOMONTH(J$10,0)&gt;=$F14,J$10&lt;=$G14),"■","")</f>
        <v/>
      </c>
      <c r="K14" s="16">
        <f>IF(AND(EOMONTH(K$10,0)&gt;=$F14,K$10&lt;=$G14),"■","")</f>
        <v/>
      </c>
      <c r="L14" s="16">
        <f>IF(AND(EOMONTH(L$10,0)&gt;=$F14,L$10&lt;=$G14),"■","")</f>
        <v/>
      </c>
      <c r="M14" s="16">
        <f>IF(AND(EOMONTH(M$10,0)&gt;=$F14,M$10&lt;=$G14),"■","")</f>
        <v/>
      </c>
      <c r="N14" s="16">
        <f>IF(AND(EOMONTH(N$10,0)&gt;=$F14,N$10&lt;=$G14),"■","")</f>
        <v/>
      </c>
      <c r="O14" s="16">
        <f>IF(AND(EOMONTH(O$10,0)&gt;=$F14,O$10&lt;=$G14),"■","")</f>
        <v/>
      </c>
      <c r="P14" s="16">
        <f>IF(AND(EOMONTH(P$10,0)&gt;=$F14,P$10&lt;=$G14),"■","")</f>
        <v/>
      </c>
    </row>
    <row r="15" ht="28" customHeight="1">
      <c r="A15" s="11">
        <f>'History'!C6</f>
        <v/>
      </c>
      <c r="B15" s="11" t="n"/>
      <c r="C15" s="11" t="n"/>
      <c r="D15" s="15">
        <f>'History'!B6</f>
        <v/>
      </c>
      <c r="E15" s="11" t="n"/>
      <c r="F15" s="13">
        <f>'History'!D6</f>
        <v/>
      </c>
      <c r="G15" s="13">
        <f>'History'!E6</f>
        <v/>
      </c>
      <c r="H15" s="16">
        <f>IF(AND(EOMONTH(H$10,0)&gt;=$F15,H$10&lt;=$G15),"■","")</f>
        <v/>
      </c>
      <c r="I15" s="16">
        <f>IF(AND(EOMONTH(I$10,0)&gt;=$F15,I$10&lt;=$G15),"■","")</f>
        <v/>
      </c>
      <c r="J15" s="16">
        <f>IF(AND(EOMONTH(J$10,0)&gt;=$F15,J$10&lt;=$G15),"■","")</f>
        <v/>
      </c>
      <c r="K15" s="16">
        <f>IF(AND(EOMONTH(K$10,0)&gt;=$F15,K$10&lt;=$G15),"■","")</f>
        <v/>
      </c>
      <c r="L15" s="16">
        <f>IF(AND(EOMONTH(L$10,0)&gt;=$F15,L$10&lt;=$G15),"■","")</f>
        <v/>
      </c>
      <c r="M15" s="16">
        <f>IF(AND(EOMONTH(M$10,0)&gt;=$F15,M$10&lt;=$G15),"■","")</f>
        <v/>
      </c>
      <c r="N15" s="16">
        <f>IF(AND(EOMONTH(N$10,0)&gt;=$F15,N$10&lt;=$G15),"■","")</f>
        <v/>
      </c>
      <c r="O15" s="16">
        <f>IF(AND(EOMONTH(O$10,0)&gt;=$F15,O$10&lt;=$G15),"■","")</f>
        <v/>
      </c>
      <c r="P15" s="16">
        <f>IF(AND(EOMONTH(P$10,0)&gt;=$F15,P$10&lt;=$G15),"■","")</f>
        <v/>
      </c>
    </row>
    <row r="16" ht="28" customHeight="1">
      <c r="A16" s="11">
        <f>'History'!C7</f>
        <v/>
      </c>
      <c r="B16" s="11" t="n"/>
      <c r="C16" s="11" t="n"/>
      <c r="D16" s="17">
        <f>'History'!B7</f>
        <v/>
      </c>
      <c r="E16" s="11" t="n"/>
      <c r="F16" s="13">
        <f>'History'!D7</f>
        <v/>
      </c>
      <c r="G16" s="13">
        <f>'History'!E7</f>
        <v/>
      </c>
      <c r="H16" s="18">
        <f>IF(AND(EOMONTH(H$10,0)&gt;=$F16,H$10&lt;=$G16),"■","")</f>
        <v/>
      </c>
      <c r="I16" s="18">
        <f>IF(AND(EOMONTH(I$10,0)&gt;=$F16,I$10&lt;=$G16),"■","")</f>
        <v/>
      </c>
      <c r="J16" s="18">
        <f>IF(AND(EOMONTH(J$10,0)&gt;=$F16,J$10&lt;=$G16),"■","")</f>
        <v/>
      </c>
      <c r="K16" s="18">
        <f>IF(AND(EOMONTH(K$10,0)&gt;=$F16,K$10&lt;=$G16),"■","")</f>
        <v/>
      </c>
      <c r="L16" s="18">
        <f>IF(AND(EOMONTH(L$10,0)&gt;=$F16,L$10&lt;=$G16),"■","")</f>
        <v/>
      </c>
      <c r="M16" s="18">
        <f>IF(AND(EOMONTH(M$10,0)&gt;=$F16,M$10&lt;=$G16),"■","")</f>
        <v/>
      </c>
      <c r="N16" s="18">
        <f>IF(AND(EOMONTH(N$10,0)&gt;=$F16,N$10&lt;=$G16),"■","")</f>
        <v/>
      </c>
      <c r="O16" s="18">
        <f>IF(AND(EOMONTH(O$10,0)&gt;=$F16,O$10&lt;=$G16),"■","")</f>
        <v/>
      </c>
      <c r="P16" s="18">
        <f>IF(AND(EOMONTH(P$10,0)&gt;=$F16,P$10&lt;=$G16),"■","")</f>
        <v/>
      </c>
    </row>
    <row r="17" ht="28" customHeight="1">
      <c r="A17" s="11">
        <f>'History'!C8</f>
        <v/>
      </c>
      <c r="B17" s="11" t="n"/>
      <c r="C17" s="11" t="n"/>
      <c r="D17" s="17">
        <f>'History'!B8</f>
        <v/>
      </c>
      <c r="E17" s="11" t="n"/>
      <c r="F17" s="13">
        <f>'History'!D8</f>
        <v/>
      </c>
      <c r="G17" s="13">
        <f>'History'!E8</f>
        <v/>
      </c>
      <c r="H17" s="18">
        <f>IF(AND(EOMONTH(H$10,0)&gt;=$F17,H$10&lt;=$G17),"■","")</f>
        <v/>
      </c>
      <c r="I17" s="18">
        <f>IF(AND(EOMONTH(I$10,0)&gt;=$F17,I$10&lt;=$G17),"■","")</f>
        <v/>
      </c>
      <c r="J17" s="18">
        <f>IF(AND(EOMONTH(J$10,0)&gt;=$F17,J$10&lt;=$G17),"■","")</f>
        <v/>
      </c>
      <c r="K17" s="18">
        <f>IF(AND(EOMONTH(K$10,0)&gt;=$F17,K$10&lt;=$G17),"■","")</f>
        <v/>
      </c>
      <c r="L17" s="18">
        <f>IF(AND(EOMONTH(L$10,0)&gt;=$F17,L$10&lt;=$G17),"■","")</f>
        <v/>
      </c>
      <c r="M17" s="18">
        <f>IF(AND(EOMONTH(M$10,0)&gt;=$F17,M$10&lt;=$G17),"■","")</f>
        <v/>
      </c>
      <c r="N17" s="18">
        <f>IF(AND(EOMONTH(N$10,0)&gt;=$F17,N$10&lt;=$G17),"■","")</f>
        <v/>
      </c>
      <c r="O17" s="18">
        <f>IF(AND(EOMONTH(O$10,0)&gt;=$F17,O$10&lt;=$G17),"■","")</f>
        <v/>
      </c>
      <c r="P17" s="18">
        <f>IF(AND(EOMONTH(P$10,0)&gt;=$F17,P$10&lt;=$G17),"■","")</f>
        <v/>
      </c>
    </row>
    <row r="18" ht="28" customHeight="1">
      <c r="A18" s="11">
        <f>'History'!C9</f>
        <v/>
      </c>
      <c r="B18" s="11" t="n"/>
      <c r="C18" s="11" t="n"/>
      <c r="D18" s="19">
        <f>'History'!B9</f>
        <v/>
      </c>
      <c r="E18" s="11" t="n"/>
      <c r="F18" s="13">
        <f>'History'!D9</f>
        <v/>
      </c>
      <c r="G18" s="13">
        <f>'History'!E9</f>
        <v/>
      </c>
      <c r="H18" s="20">
        <f>IF(AND(EOMONTH(H$10,0)&gt;=$F18,H$10&lt;=$G18),"■","")</f>
        <v/>
      </c>
      <c r="I18" s="20">
        <f>IF(AND(EOMONTH(I$10,0)&gt;=$F18,I$10&lt;=$G18),"■","")</f>
        <v/>
      </c>
      <c r="J18" s="20">
        <f>IF(AND(EOMONTH(J$10,0)&gt;=$F18,J$10&lt;=$G18),"■","")</f>
        <v/>
      </c>
      <c r="K18" s="20">
        <f>IF(AND(EOMONTH(K$10,0)&gt;=$F18,K$10&lt;=$G18),"■","")</f>
        <v/>
      </c>
      <c r="L18" s="20">
        <f>IF(AND(EOMONTH(L$10,0)&gt;=$F18,L$10&lt;=$G18),"■","")</f>
        <v/>
      </c>
      <c r="M18" s="20">
        <f>IF(AND(EOMONTH(M$10,0)&gt;=$F18,M$10&lt;=$G18),"■","")</f>
        <v/>
      </c>
      <c r="N18" s="20">
        <f>IF(AND(EOMONTH(N$10,0)&gt;=$F18,N$10&lt;=$G18),"■","")</f>
        <v/>
      </c>
      <c r="O18" s="20">
        <f>IF(AND(EOMONTH(O$10,0)&gt;=$F18,O$10&lt;=$G18),"■","")</f>
        <v/>
      </c>
      <c r="P18" s="20">
        <f>IF(AND(EOMONTH(P$10,0)&gt;=$F18,P$10&lt;=$G18),"■","")</f>
        <v/>
      </c>
    </row>
    <row r="19" ht="28" customHeight="1">
      <c r="A19" s="11">
        <f>'History'!C10</f>
        <v/>
      </c>
      <c r="B19" s="11" t="n"/>
      <c r="C19" s="11" t="n"/>
      <c r="D19" s="19">
        <f>'History'!B10</f>
        <v/>
      </c>
      <c r="E19" s="11" t="n"/>
      <c r="F19" s="13">
        <f>'History'!D10</f>
        <v/>
      </c>
      <c r="G19" s="13">
        <f>'History'!E10</f>
        <v/>
      </c>
      <c r="H19" s="20">
        <f>IF(AND(EOMONTH(H$10,0)&gt;=$F19,H$10&lt;=$G19),"■","")</f>
        <v/>
      </c>
      <c r="I19" s="20">
        <f>IF(AND(EOMONTH(I$10,0)&gt;=$F19,I$10&lt;=$G19),"■","")</f>
        <v/>
      </c>
      <c r="J19" s="20">
        <f>IF(AND(EOMONTH(J$10,0)&gt;=$F19,J$10&lt;=$G19),"■","")</f>
        <v/>
      </c>
      <c r="K19" s="20">
        <f>IF(AND(EOMONTH(K$10,0)&gt;=$F19,K$10&lt;=$G19),"■","")</f>
        <v/>
      </c>
      <c r="L19" s="20">
        <f>IF(AND(EOMONTH(L$10,0)&gt;=$F19,L$10&lt;=$G19),"■","")</f>
        <v/>
      </c>
      <c r="M19" s="20">
        <f>IF(AND(EOMONTH(M$10,0)&gt;=$F19,M$10&lt;=$G19),"■","")</f>
        <v/>
      </c>
      <c r="N19" s="20">
        <f>IF(AND(EOMONTH(N$10,0)&gt;=$F19,N$10&lt;=$G19),"■","")</f>
        <v/>
      </c>
      <c r="O19" s="20">
        <f>IF(AND(EOMONTH(O$10,0)&gt;=$F19,O$10&lt;=$G19),"■","")</f>
        <v/>
      </c>
      <c r="P19" s="20">
        <f>IF(AND(EOMONTH(P$10,0)&gt;=$F19,P$10&lt;=$G19),"■","")</f>
        <v/>
      </c>
    </row>
    <row r="20" ht="28" customHeight="1">
      <c r="A20" s="11">
        <f>'History'!C11</f>
        <v/>
      </c>
      <c r="B20" s="11" t="n"/>
      <c r="C20" s="11" t="n"/>
      <c r="D20" s="21">
        <f>'History'!B11</f>
        <v/>
      </c>
      <c r="E20" s="11" t="n"/>
      <c r="F20" s="13">
        <f>'History'!D11</f>
        <v/>
      </c>
      <c r="G20" s="13">
        <f>'History'!E11</f>
        <v/>
      </c>
      <c r="H20" s="22">
        <f>IF(AND(EOMONTH(H$10,0)&gt;=$F20,H$10&lt;=$G20),"■","")</f>
        <v/>
      </c>
      <c r="I20" s="22">
        <f>IF(AND(EOMONTH(I$10,0)&gt;=$F20,I$10&lt;=$G20),"■","")</f>
        <v/>
      </c>
      <c r="J20" s="22">
        <f>IF(AND(EOMONTH(J$10,0)&gt;=$F20,J$10&lt;=$G20),"■","")</f>
        <v/>
      </c>
      <c r="K20" s="22">
        <f>IF(AND(EOMONTH(K$10,0)&gt;=$F20,K$10&lt;=$G20),"■","")</f>
        <v/>
      </c>
      <c r="L20" s="22">
        <f>IF(AND(EOMONTH(L$10,0)&gt;=$F20,L$10&lt;=$G20),"■","")</f>
        <v/>
      </c>
      <c r="M20" s="22">
        <f>IF(AND(EOMONTH(M$10,0)&gt;=$F20,M$10&lt;=$G20),"■","")</f>
        <v/>
      </c>
      <c r="N20" s="22">
        <f>IF(AND(EOMONTH(N$10,0)&gt;=$F20,N$10&lt;=$G20),"■","")</f>
        <v/>
      </c>
      <c r="O20" s="22">
        <f>IF(AND(EOMONTH(O$10,0)&gt;=$F20,O$10&lt;=$G20),"■","")</f>
        <v/>
      </c>
      <c r="P20" s="22">
        <f>IF(AND(EOMONTH(P$10,0)&gt;=$F20,P$10&lt;=$G20),"■","")</f>
        <v/>
      </c>
    </row>
    <row r="21" ht="28" customHeight="1">
      <c r="A21" s="11">
        <f>'History'!C12</f>
        <v/>
      </c>
      <c r="B21" s="11" t="n"/>
      <c r="C21" s="11" t="n"/>
      <c r="D21" s="21">
        <f>'History'!B12</f>
        <v/>
      </c>
      <c r="E21" s="11" t="n"/>
      <c r="F21" s="13">
        <f>'History'!D12</f>
        <v/>
      </c>
      <c r="G21" s="13">
        <f>'History'!E12</f>
        <v/>
      </c>
      <c r="H21" s="22">
        <f>IF(AND(EOMONTH(H$10,0)&gt;=$F21,H$10&lt;=$G21),"■","")</f>
        <v/>
      </c>
      <c r="I21" s="22">
        <f>IF(AND(EOMONTH(I$10,0)&gt;=$F21,I$10&lt;=$G21),"■","")</f>
        <v/>
      </c>
      <c r="J21" s="22">
        <f>IF(AND(EOMONTH(J$10,0)&gt;=$F21,J$10&lt;=$G21),"■","")</f>
        <v/>
      </c>
      <c r="K21" s="22">
        <f>IF(AND(EOMONTH(K$10,0)&gt;=$F21,K$10&lt;=$G21),"■","")</f>
        <v/>
      </c>
      <c r="L21" s="22">
        <f>IF(AND(EOMONTH(L$10,0)&gt;=$F21,L$10&lt;=$G21),"■","")</f>
        <v/>
      </c>
      <c r="M21" s="22">
        <f>IF(AND(EOMONTH(M$10,0)&gt;=$F21,M$10&lt;=$G21),"■","")</f>
        <v/>
      </c>
      <c r="N21" s="22">
        <f>IF(AND(EOMONTH(N$10,0)&gt;=$F21,N$10&lt;=$G21),"■","")</f>
        <v/>
      </c>
      <c r="O21" s="22">
        <f>IF(AND(EOMONTH(O$10,0)&gt;=$F21,O$10&lt;=$G21),"■","")</f>
        <v/>
      </c>
      <c r="P21" s="22">
        <f>IF(AND(EOMONTH(P$10,0)&gt;=$F21,P$10&lt;=$G21),"■","")</f>
        <v/>
      </c>
    </row>
    <row r="22" ht="28" customHeight="1">
      <c r="A22" s="11">
        <f>'History'!C13</f>
        <v/>
      </c>
      <c r="B22" s="11" t="n"/>
      <c r="C22" s="11" t="n"/>
      <c r="D22" s="23">
        <f>'History'!B13</f>
        <v/>
      </c>
      <c r="E22" s="11" t="n"/>
      <c r="F22" s="13">
        <f>'History'!D13</f>
        <v/>
      </c>
      <c r="G22" s="13">
        <f>'History'!E13</f>
        <v/>
      </c>
      <c r="H22" s="24">
        <f>IF(AND(EOMONTH(H$10,0)&gt;=$F22,H$10&lt;=$G22),"■","")</f>
        <v/>
      </c>
      <c r="I22" s="24">
        <f>IF(AND(EOMONTH(I$10,0)&gt;=$F22,I$10&lt;=$G22),"■","")</f>
        <v/>
      </c>
      <c r="J22" s="24">
        <f>IF(AND(EOMONTH(J$10,0)&gt;=$F22,J$10&lt;=$G22),"■","")</f>
        <v/>
      </c>
      <c r="K22" s="24">
        <f>IF(AND(EOMONTH(K$10,0)&gt;=$F22,K$10&lt;=$G22),"■","")</f>
        <v/>
      </c>
      <c r="L22" s="24">
        <f>IF(AND(EOMONTH(L$10,0)&gt;=$F22,L$10&lt;=$G22),"■","")</f>
        <v/>
      </c>
      <c r="M22" s="24">
        <f>IF(AND(EOMONTH(M$10,0)&gt;=$F22,M$10&lt;=$G22),"■","")</f>
        <v/>
      </c>
      <c r="N22" s="24">
        <f>IF(AND(EOMONTH(N$10,0)&gt;=$F22,N$10&lt;=$G22),"■","")</f>
        <v/>
      </c>
      <c r="O22" s="24">
        <f>IF(AND(EOMONTH(O$10,0)&gt;=$F22,O$10&lt;=$G22),"■","")</f>
        <v/>
      </c>
      <c r="P22" s="24">
        <f>IF(AND(EOMONTH(P$10,0)&gt;=$F22,P$10&lt;=$G22),"■","")</f>
        <v/>
      </c>
    </row>
    <row r="23" ht="28" customHeight="1">
      <c r="A23" s="11">
        <f>'History'!C14</f>
        <v/>
      </c>
      <c r="B23" s="11" t="n"/>
      <c r="C23" s="11" t="n"/>
      <c r="D23" s="23">
        <f>'History'!B14</f>
        <v/>
      </c>
      <c r="E23" s="11" t="n"/>
      <c r="F23" s="13">
        <f>'History'!D14</f>
        <v/>
      </c>
      <c r="G23" s="13">
        <f>'History'!E14</f>
        <v/>
      </c>
      <c r="H23" s="24">
        <f>IF(AND(EOMONTH(H$10,0)&gt;=$F23,H$10&lt;=$G23),"■","")</f>
        <v/>
      </c>
      <c r="I23" s="24">
        <f>IF(AND(EOMONTH(I$10,0)&gt;=$F23,I$10&lt;=$G23),"■","")</f>
        <v/>
      </c>
      <c r="J23" s="24">
        <f>IF(AND(EOMONTH(J$10,0)&gt;=$F23,J$10&lt;=$G23),"■","")</f>
        <v/>
      </c>
      <c r="K23" s="24">
        <f>IF(AND(EOMONTH(K$10,0)&gt;=$F23,K$10&lt;=$G23),"■","")</f>
        <v/>
      </c>
      <c r="L23" s="24">
        <f>IF(AND(EOMONTH(L$10,0)&gt;=$F23,L$10&lt;=$G23),"■","")</f>
        <v/>
      </c>
      <c r="M23" s="24">
        <f>IF(AND(EOMONTH(M$10,0)&gt;=$F23,M$10&lt;=$G23),"■","")</f>
        <v/>
      </c>
      <c r="N23" s="24">
        <f>IF(AND(EOMONTH(N$10,0)&gt;=$F23,N$10&lt;=$G23),"■","")</f>
        <v/>
      </c>
      <c r="O23" s="24">
        <f>IF(AND(EOMONTH(O$10,0)&gt;=$F23,O$10&lt;=$G23),"■","")</f>
        <v/>
      </c>
      <c r="P23" s="24">
        <f>IF(AND(EOMONTH(P$10,0)&gt;=$F23,P$10&lt;=$G23),"■","")</f>
        <v/>
      </c>
    </row>
    <row r="24" ht="28" customHeight="1">
      <c r="A24" s="11">
        <f>'History'!C15</f>
        <v/>
      </c>
      <c r="B24" s="11" t="n"/>
      <c r="C24" s="11" t="n"/>
      <c r="D24" s="25">
        <f>'History'!B15</f>
        <v/>
      </c>
      <c r="E24" s="11" t="n"/>
      <c r="F24" s="13">
        <f>'History'!D15</f>
        <v/>
      </c>
      <c r="G24" s="13">
        <f>'History'!E15</f>
        <v/>
      </c>
      <c r="H24" s="26">
        <f>IF(AND(EOMONTH(H$10,0)&gt;=$F24,H$10&lt;=$G24),"■","")</f>
        <v/>
      </c>
      <c r="I24" s="26">
        <f>IF(AND(EOMONTH(I$10,0)&gt;=$F24,I$10&lt;=$G24),"■","")</f>
        <v/>
      </c>
      <c r="J24" s="26">
        <f>IF(AND(EOMONTH(J$10,0)&gt;=$F24,J$10&lt;=$G24),"■","")</f>
        <v/>
      </c>
      <c r="K24" s="26">
        <f>IF(AND(EOMONTH(K$10,0)&gt;=$F24,K$10&lt;=$G24),"■","")</f>
        <v/>
      </c>
      <c r="L24" s="26">
        <f>IF(AND(EOMONTH(L$10,0)&gt;=$F24,L$10&lt;=$G24),"■","")</f>
        <v/>
      </c>
      <c r="M24" s="26">
        <f>IF(AND(EOMONTH(M$10,0)&gt;=$F24,M$10&lt;=$G24),"■","")</f>
        <v/>
      </c>
      <c r="N24" s="26">
        <f>IF(AND(EOMONTH(N$10,0)&gt;=$F24,N$10&lt;=$G24),"■","")</f>
        <v/>
      </c>
      <c r="O24" s="26">
        <f>IF(AND(EOMONTH(O$10,0)&gt;=$F24,O$10&lt;=$G24),"■","")</f>
        <v/>
      </c>
      <c r="P24" s="26">
        <f>IF(AND(EOMONTH(P$10,0)&gt;=$F24,P$10&lt;=$G24),"■","")</f>
        <v/>
      </c>
    </row>
    <row r="25" ht="28" customHeight="1">
      <c r="A25" s="11">
        <f>'History'!C16</f>
        <v/>
      </c>
      <c r="B25" s="11" t="n"/>
      <c r="C25" s="11" t="n"/>
      <c r="D25" s="25">
        <f>'History'!B16</f>
        <v/>
      </c>
      <c r="E25" s="11" t="n"/>
      <c r="F25" s="13">
        <f>'History'!D16</f>
        <v/>
      </c>
      <c r="G25" s="13">
        <f>'History'!E16</f>
        <v/>
      </c>
      <c r="H25" s="26">
        <f>IF(AND(EOMONTH(H$10,0)&gt;=$F25,H$10&lt;=$G25),"■","")</f>
        <v/>
      </c>
      <c r="I25" s="26">
        <f>IF(AND(EOMONTH(I$10,0)&gt;=$F25,I$10&lt;=$G25),"■","")</f>
        <v/>
      </c>
      <c r="J25" s="26">
        <f>IF(AND(EOMONTH(J$10,0)&gt;=$F25,J$10&lt;=$G25),"■","")</f>
        <v/>
      </c>
      <c r="K25" s="26">
        <f>IF(AND(EOMONTH(K$10,0)&gt;=$F25,K$10&lt;=$G25),"■","")</f>
        <v/>
      </c>
      <c r="L25" s="26">
        <f>IF(AND(EOMONTH(L$10,0)&gt;=$F25,L$10&lt;=$G25),"■","")</f>
        <v/>
      </c>
      <c r="M25" s="26">
        <f>IF(AND(EOMONTH(M$10,0)&gt;=$F25,M$10&lt;=$G25),"■","")</f>
        <v/>
      </c>
      <c r="N25" s="26">
        <f>IF(AND(EOMONTH(N$10,0)&gt;=$F25,N$10&lt;=$G25),"■","")</f>
        <v/>
      </c>
      <c r="O25" s="26">
        <f>IF(AND(EOMONTH(O$10,0)&gt;=$F25,O$10&lt;=$G25),"■","")</f>
        <v/>
      </c>
      <c r="P25" s="26">
        <f>IF(AND(EOMONTH(P$10,0)&gt;=$F25,P$10&lt;=$G25),"■","")</f>
        <v/>
      </c>
    </row>
    <row r="27">
      <c r="A27" s="27" t="inlineStr">
        <is>
          <t>Color key</t>
        </is>
      </c>
    </row>
    <row r="28" ht="28" customHeight="1">
      <c r="A28" s="28" t="inlineStr">
        <is>
          <t>Requirements</t>
        </is>
      </c>
      <c r="B28" s="28" t="n"/>
      <c r="C28" s="29" t="inlineStr">
        <is>
          <t>Design Phase</t>
        </is>
      </c>
      <c r="D28" s="29" t="n"/>
      <c r="E28" s="30" t="inlineStr">
        <is>
          <t>System Dev 1</t>
        </is>
      </c>
      <c r="F28" s="30" t="n"/>
      <c r="G28" s="31" t="inlineStr">
        <is>
          <t>System Dev 2</t>
        </is>
      </c>
      <c r="H28" s="31" t="n"/>
      <c r="I28" s="32" t="inlineStr">
        <is>
          <t>System Dev 3</t>
        </is>
      </c>
      <c r="J28" s="32" t="n"/>
      <c r="K28" s="33" t="inlineStr">
        <is>
          <t>System Dev 4</t>
        </is>
      </c>
      <c r="L28" s="33" t="n"/>
      <c r="M28" s="34" t="inlineStr">
        <is>
          <t>Testing</t>
        </is>
      </c>
      <c r="N28" s="34" t="n"/>
    </row>
    <row r="30" ht="24" customHeight="1">
      <c r="A30" s="35" t="inlineStr">
        <is>
          <t>Important: the source workbooks contain planned task timing but no verified completion dates or progress percentages. 'Plan elapsed' means the planned end date is before the as-of date; it does not mean the task was completed.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</row>
    <row r="31" ht="24" customHeight="1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</row>
    <row r="32" ht="24" customHeight="1">
      <c r="A32" s="35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</row>
  </sheetData>
  <mergeCells count="52">
    <mergeCell ref="D20:E20"/>
    <mergeCell ref="A25:C25"/>
    <mergeCell ref="D10:E10"/>
    <mergeCell ref="M3:P3"/>
    <mergeCell ref="D19:E19"/>
    <mergeCell ref="A18:C18"/>
    <mergeCell ref="A21:C21"/>
    <mergeCell ref="D22:E22"/>
    <mergeCell ref="A12:C12"/>
    <mergeCell ref="D21:E21"/>
    <mergeCell ref="E4:H7"/>
    <mergeCell ref="E3:H3"/>
    <mergeCell ref="A23:C23"/>
    <mergeCell ref="D11:E11"/>
    <mergeCell ref="A9:P9"/>
    <mergeCell ref="D13:E13"/>
    <mergeCell ref="A14:C14"/>
    <mergeCell ref="A22:C22"/>
    <mergeCell ref="A17:C17"/>
    <mergeCell ref="E28:F28"/>
    <mergeCell ref="G28:H28"/>
    <mergeCell ref="I28:J28"/>
    <mergeCell ref="D17:E17"/>
    <mergeCell ref="A20:C20"/>
    <mergeCell ref="A10:C10"/>
    <mergeCell ref="D16:E16"/>
    <mergeCell ref="A13:C13"/>
    <mergeCell ref="A19:C19"/>
    <mergeCell ref="A1:P1"/>
    <mergeCell ref="M28:N28"/>
    <mergeCell ref="A30:P32"/>
    <mergeCell ref="D18:E18"/>
    <mergeCell ref="A15:C15"/>
    <mergeCell ref="A24:C24"/>
    <mergeCell ref="D12:E12"/>
    <mergeCell ref="D25:E25"/>
    <mergeCell ref="A4:D7"/>
    <mergeCell ref="A11:C11"/>
    <mergeCell ref="D24:E24"/>
    <mergeCell ref="I4:L7"/>
    <mergeCell ref="I3:L3"/>
    <mergeCell ref="D15:E15"/>
    <mergeCell ref="A3:D3"/>
    <mergeCell ref="M4:P7"/>
    <mergeCell ref="D23:E23"/>
    <mergeCell ref="A27:P27"/>
    <mergeCell ref="A28:B28"/>
    <mergeCell ref="D14:E14"/>
    <mergeCell ref="C28:D28"/>
    <mergeCell ref="K28:L28"/>
    <mergeCell ref="A16:C16"/>
    <mergeCell ref="A2:P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V20"/>
  <sheetViews>
    <sheetView showGridLines="0" zoomScale="7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44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</cols>
  <sheetData>
    <row r="1" ht="36" customHeight="1">
      <c r="A1" s="36" t="inlineStr">
        <is>
          <t>iPawcus - Consolidated Gantt History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6" t="n"/>
      <c r="AN1" s="36" t="n"/>
      <c r="AO1" s="36" t="n"/>
      <c r="AP1" s="36" t="n"/>
      <c r="AQ1" s="36" t="n"/>
      <c r="AR1" s="36" t="n"/>
      <c r="AS1" s="36" t="n"/>
      <c r="AT1" s="36" t="n"/>
      <c r="AU1" s="36" t="n"/>
      <c r="AV1" s="36" t="n"/>
    </row>
    <row r="2" ht="24" customHeight="1">
      <c r="A2" s="37" t="inlineStr">
        <is>
          <t>Compiled from all located Gantt workbooks | Updated through September 21, 2026 | Bars show planned timing, not verified completion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</row>
    <row r="3">
      <c r="A3" s="38" t="inlineStr">
        <is>
          <t>As of</t>
        </is>
      </c>
      <c r="B3" s="39" t="n">
        <v>46286</v>
      </c>
      <c r="C3" s="38" t="inlineStr">
        <is>
          <t>History start</t>
        </is>
      </c>
      <c r="D3" s="39">
        <f>MIN('History'!D2:D16)</f>
        <v/>
      </c>
      <c r="E3" s="38" t="inlineStr">
        <is>
          <t>Latest planned end</t>
        </is>
      </c>
      <c r="F3" s="39">
        <f>MAX('History'!E2:E16)</f>
        <v/>
      </c>
      <c r="G3" s="38" t="inlineStr">
        <is>
          <t>Tasks</t>
        </is>
      </c>
      <c r="H3" s="38">
        <f>COUNTA('History'!A2:A16)</f>
        <v/>
      </c>
      <c r="I3" s="38" t="inlineStr">
        <is>
          <t>Sources</t>
        </is>
      </c>
      <c r="J3" s="38" t="n">
        <v>2</v>
      </c>
    </row>
    <row r="4" ht="22" customHeight="1">
      <c r="J4" s="40" t="n">
        <v>46027</v>
      </c>
      <c r="K4" s="41" t="n"/>
      <c r="L4" s="41" t="n"/>
      <c r="M4" s="41" t="n"/>
      <c r="N4" s="40" t="n">
        <v>46055</v>
      </c>
      <c r="O4" s="41" t="n"/>
      <c r="P4" s="41" t="n"/>
      <c r="Q4" s="41" t="n"/>
      <c r="R4" s="40" t="n">
        <v>46083</v>
      </c>
      <c r="S4" s="41" t="n"/>
      <c r="T4" s="41" t="n"/>
      <c r="U4" s="41" t="n"/>
      <c r="V4" s="41" t="n"/>
      <c r="W4" s="40" t="n">
        <v>46118</v>
      </c>
      <c r="X4" s="41" t="n"/>
      <c r="Y4" s="41" t="n"/>
      <c r="Z4" s="41" t="n"/>
      <c r="AA4" s="40" t="n">
        <v>46146</v>
      </c>
      <c r="AB4" s="41" t="n"/>
      <c r="AC4" s="41" t="n"/>
      <c r="AD4" s="41" t="n"/>
      <c r="AE4" s="40" t="n">
        <v>46174</v>
      </c>
      <c r="AF4" s="41" t="n"/>
      <c r="AG4" s="41" t="n"/>
      <c r="AH4" s="41" t="n"/>
      <c r="AI4" s="41" t="n"/>
      <c r="AJ4" s="40" t="n">
        <v>46209</v>
      </c>
      <c r="AK4" s="41" t="n"/>
      <c r="AL4" s="41" t="n"/>
      <c r="AM4" s="41" t="n"/>
      <c r="AN4" s="40" t="n">
        <v>46237</v>
      </c>
      <c r="AO4" s="41" t="n"/>
      <c r="AP4" s="41" t="n"/>
      <c r="AQ4" s="41" t="n"/>
      <c r="AR4" s="41" t="n"/>
      <c r="AS4" s="40" t="n">
        <v>46272</v>
      </c>
      <c r="AT4" s="41" t="n"/>
      <c r="AU4" s="42" t="n"/>
      <c r="AV4" s="41" t="n"/>
    </row>
    <row r="5" ht="54" customHeight="1">
      <c r="A5" s="43" t="inlineStr">
        <is>
          <t>ID</t>
        </is>
      </c>
      <c r="B5" s="43" t="inlineStr">
        <is>
          <t>Phase</t>
        </is>
      </c>
      <c r="C5" s="43" t="inlineStr">
        <is>
          <t>Task</t>
        </is>
      </c>
      <c r="D5" s="43" t="inlineStr">
        <is>
          <t>Planned Start</t>
        </is>
      </c>
      <c r="E5" s="43" t="inlineStr">
        <is>
          <t>Planned End</t>
        </is>
      </c>
      <c r="F5" s="43" t="inlineStr">
        <is>
          <t>Source Period</t>
        </is>
      </c>
      <c r="G5" s="43" t="inlineStr">
        <is>
          <t>Schedule State</t>
        </is>
      </c>
      <c r="H5" s="43" t="inlineStr">
        <is>
          <t>Reported Status</t>
        </is>
      </c>
      <c r="I5" s="43" t="inlineStr">
        <is>
          <t>Notes</t>
        </is>
      </c>
      <c r="J5" s="44" t="n">
        <v>46027</v>
      </c>
      <c r="K5" s="44" t="n">
        <v>46034</v>
      </c>
      <c r="L5" s="44" t="n">
        <v>46041</v>
      </c>
      <c r="M5" s="44" t="n">
        <v>46048</v>
      </c>
      <c r="N5" s="44" t="n">
        <v>46055</v>
      </c>
      <c r="O5" s="44" t="n">
        <v>46062</v>
      </c>
      <c r="P5" s="44" t="n">
        <v>46069</v>
      </c>
      <c r="Q5" s="44" t="n">
        <v>46076</v>
      </c>
      <c r="R5" s="44" t="n">
        <v>46083</v>
      </c>
      <c r="S5" s="44" t="n">
        <v>46090</v>
      </c>
      <c r="T5" s="44" t="n">
        <v>46097</v>
      </c>
      <c r="U5" s="44" t="n">
        <v>46104</v>
      </c>
      <c r="V5" s="44" t="n">
        <v>46111</v>
      </c>
      <c r="W5" s="44" t="n">
        <v>46118</v>
      </c>
      <c r="X5" s="44" t="n">
        <v>46125</v>
      </c>
      <c r="Y5" s="44" t="n">
        <v>46132</v>
      </c>
      <c r="Z5" s="44" t="n">
        <v>46139</v>
      </c>
      <c r="AA5" s="44" t="n">
        <v>46146</v>
      </c>
      <c r="AB5" s="44" t="n">
        <v>46153</v>
      </c>
      <c r="AC5" s="44" t="n">
        <v>46160</v>
      </c>
      <c r="AD5" s="44" t="n">
        <v>46167</v>
      </c>
      <c r="AE5" s="44" t="n">
        <v>46174</v>
      </c>
      <c r="AF5" s="44" t="n">
        <v>46181</v>
      </c>
      <c r="AG5" s="44" t="n">
        <v>46188</v>
      </c>
      <c r="AH5" s="44" t="n">
        <v>46195</v>
      </c>
      <c r="AI5" s="44" t="n">
        <v>46202</v>
      </c>
      <c r="AJ5" s="44" t="n">
        <v>46209</v>
      </c>
      <c r="AK5" s="44" t="n">
        <v>46216</v>
      </c>
      <c r="AL5" s="44" t="n">
        <v>46223</v>
      </c>
      <c r="AM5" s="44" t="n">
        <v>46230</v>
      </c>
      <c r="AN5" s="44" t="n">
        <v>46237</v>
      </c>
      <c r="AO5" s="44" t="n">
        <v>46244</v>
      </c>
      <c r="AP5" s="44" t="n">
        <v>46251</v>
      </c>
      <c r="AQ5" s="44" t="n">
        <v>46258</v>
      </c>
      <c r="AR5" s="44" t="n">
        <v>46265</v>
      </c>
      <c r="AS5" s="44" t="n">
        <v>46272</v>
      </c>
      <c r="AT5" s="44" t="n">
        <v>46279</v>
      </c>
      <c r="AU5" s="45" t="n">
        <v>46286</v>
      </c>
      <c r="AV5" s="44" t="n">
        <v>46293</v>
      </c>
    </row>
    <row r="6" ht="42" customHeight="1">
      <c r="A6" s="11">
        <f>'History'!A2</f>
        <v/>
      </c>
      <c r="B6" s="46">
        <f>'History'!B2</f>
        <v/>
      </c>
      <c r="C6" s="11">
        <f>'History'!C2</f>
        <v/>
      </c>
      <c r="D6" s="47">
        <f>'History'!D2</f>
        <v/>
      </c>
      <c r="E6" s="47">
        <f>'History'!E2</f>
        <v/>
      </c>
      <c r="F6" s="11">
        <f>'History'!G2</f>
        <v/>
      </c>
      <c r="G6" s="11">
        <f>IF($E6&lt;$B$3,"Plan elapsed",IF($D6&lt;=$B$3,"In plan window","Future"))</f>
        <v/>
      </c>
      <c r="H6" s="11">
        <f>'History'!M2</f>
        <v/>
      </c>
      <c r="I6" s="11">
        <f>'History'!N2</f>
        <v/>
      </c>
      <c r="J6" s="14">
        <f>IF(AND(J$5&lt;=$E6,J$5+6&gt;=$D6),"■","")</f>
        <v/>
      </c>
      <c r="K6" s="14">
        <f>IF(AND(K$5&lt;=$E6,K$5+6&gt;=$D6),"■","")</f>
        <v/>
      </c>
      <c r="L6" s="14">
        <f>IF(AND(L$5&lt;=$E6,L$5+6&gt;=$D6),"■","")</f>
        <v/>
      </c>
      <c r="M6" s="14">
        <f>IF(AND(M$5&lt;=$E6,M$5+6&gt;=$D6),"■","")</f>
        <v/>
      </c>
      <c r="N6" s="14">
        <f>IF(AND(N$5&lt;=$E6,N$5+6&gt;=$D6),"■","")</f>
        <v/>
      </c>
      <c r="O6" s="14">
        <f>IF(AND(O$5&lt;=$E6,O$5+6&gt;=$D6),"■","")</f>
        <v/>
      </c>
      <c r="P6" s="14">
        <f>IF(AND(P$5&lt;=$E6,P$5+6&gt;=$D6),"■","")</f>
        <v/>
      </c>
      <c r="Q6" s="14">
        <f>IF(AND(Q$5&lt;=$E6,Q$5+6&gt;=$D6),"■","")</f>
        <v/>
      </c>
      <c r="R6" s="14">
        <f>IF(AND(R$5&lt;=$E6,R$5+6&gt;=$D6),"■","")</f>
        <v/>
      </c>
      <c r="S6" s="14">
        <f>IF(AND(S$5&lt;=$E6,S$5+6&gt;=$D6),"■","")</f>
        <v/>
      </c>
      <c r="T6" s="14">
        <f>IF(AND(T$5&lt;=$E6,T$5+6&gt;=$D6),"■","")</f>
        <v/>
      </c>
      <c r="U6" s="14">
        <f>IF(AND(U$5&lt;=$E6,U$5+6&gt;=$D6),"■","")</f>
        <v/>
      </c>
      <c r="V6" s="14">
        <f>IF(AND(V$5&lt;=$E6,V$5+6&gt;=$D6),"■","")</f>
        <v/>
      </c>
      <c r="W6" s="14">
        <f>IF(AND(W$5&lt;=$E6,W$5+6&gt;=$D6),"■","")</f>
        <v/>
      </c>
      <c r="X6" s="14">
        <f>IF(AND(X$5&lt;=$E6,X$5+6&gt;=$D6),"■","")</f>
        <v/>
      </c>
      <c r="Y6" s="14">
        <f>IF(AND(Y$5&lt;=$E6,Y$5+6&gt;=$D6),"■","")</f>
        <v/>
      </c>
      <c r="Z6" s="14">
        <f>IF(AND(Z$5&lt;=$E6,Z$5+6&gt;=$D6),"■","")</f>
        <v/>
      </c>
      <c r="AA6" s="14">
        <f>IF(AND(AA$5&lt;=$E6,AA$5+6&gt;=$D6),"■","")</f>
        <v/>
      </c>
      <c r="AB6" s="14">
        <f>IF(AND(AB$5&lt;=$E6,AB$5+6&gt;=$D6),"■","")</f>
        <v/>
      </c>
      <c r="AC6" s="14">
        <f>IF(AND(AC$5&lt;=$E6,AC$5+6&gt;=$D6),"■","")</f>
        <v/>
      </c>
      <c r="AD6" s="14">
        <f>IF(AND(AD$5&lt;=$E6,AD$5+6&gt;=$D6),"■","")</f>
        <v/>
      </c>
      <c r="AE6" s="14">
        <f>IF(AND(AE$5&lt;=$E6,AE$5+6&gt;=$D6),"■","")</f>
        <v/>
      </c>
      <c r="AF6" s="14">
        <f>IF(AND(AF$5&lt;=$E6,AF$5+6&gt;=$D6),"■","")</f>
        <v/>
      </c>
      <c r="AG6" s="14">
        <f>IF(AND(AG$5&lt;=$E6,AG$5+6&gt;=$D6),"■","")</f>
        <v/>
      </c>
      <c r="AH6" s="14">
        <f>IF(AND(AH$5&lt;=$E6,AH$5+6&gt;=$D6),"■","")</f>
        <v/>
      </c>
      <c r="AI6" s="14">
        <f>IF(AND(AI$5&lt;=$E6,AI$5+6&gt;=$D6),"■","")</f>
        <v/>
      </c>
      <c r="AJ6" s="14">
        <f>IF(AND(AJ$5&lt;=$E6,AJ$5+6&gt;=$D6),"■","")</f>
        <v/>
      </c>
      <c r="AK6" s="14">
        <f>IF(AND(AK$5&lt;=$E6,AK$5+6&gt;=$D6),"■","")</f>
        <v/>
      </c>
      <c r="AL6" s="14">
        <f>IF(AND(AL$5&lt;=$E6,AL$5+6&gt;=$D6),"■","")</f>
        <v/>
      </c>
      <c r="AM6" s="14">
        <f>IF(AND(AM$5&lt;=$E6,AM$5+6&gt;=$D6),"■","")</f>
        <v/>
      </c>
      <c r="AN6" s="14">
        <f>IF(AND(AN$5&lt;=$E6,AN$5+6&gt;=$D6),"■","")</f>
        <v/>
      </c>
      <c r="AO6" s="14">
        <f>IF(AND(AO$5&lt;=$E6,AO$5+6&gt;=$D6),"■","")</f>
        <v/>
      </c>
      <c r="AP6" s="14">
        <f>IF(AND(AP$5&lt;=$E6,AP$5+6&gt;=$D6),"■","")</f>
        <v/>
      </c>
      <c r="AQ6" s="14">
        <f>IF(AND(AQ$5&lt;=$E6,AQ$5+6&gt;=$D6),"■","")</f>
        <v/>
      </c>
      <c r="AR6" s="14">
        <f>IF(AND(AR$5&lt;=$E6,AR$5+6&gt;=$D6),"■","")</f>
        <v/>
      </c>
      <c r="AS6" s="14">
        <f>IF(AND(AS$5&lt;=$E6,AS$5+6&gt;=$D6),"■","")</f>
        <v/>
      </c>
      <c r="AT6" s="14">
        <f>IF(AND(AT$5&lt;=$E6,AT$5+6&gt;=$D6),"■","")</f>
        <v/>
      </c>
      <c r="AU6" s="48">
        <f>IF(AND(AU$5&lt;=$E6,AU$5+6&gt;=$D6),"■","")</f>
        <v/>
      </c>
      <c r="AV6" s="14">
        <f>IF(AND(AV$5&lt;=$E6,AV$5+6&gt;=$D6),"■","")</f>
        <v/>
      </c>
    </row>
    <row r="7" ht="42" customHeight="1">
      <c r="A7" s="11">
        <f>'History'!A3</f>
        <v/>
      </c>
      <c r="B7" s="46">
        <f>'History'!B3</f>
        <v/>
      </c>
      <c r="C7" s="11">
        <f>'History'!C3</f>
        <v/>
      </c>
      <c r="D7" s="47">
        <f>'History'!D3</f>
        <v/>
      </c>
      <c r="E7" s="47">
        <f>'History'!E3</f>
        <v/>
      </c>
      <c r="F7" s="11">
        <f>'History'!G3</f>
        <v/>
      </c>
      <c r="G7" s="11">
        <f>IF($E7&lt;$B$3,"Plan elapsed",IF($D7&lt;=$B$3,"In plan window","Future"))</f>
        <v/>
      </c>
      <c r="H7" s="11">
        <f>'History'!M3</f>
        <v/>
      </c>
      <c r="I7" s="11">
        <f>'History'!N3</f>
        <v/>
      </c>
      <c r="J7" s="14">
        <f>IF(AND(J$5&lt;=$E7,J$5+6&gt;=$D7),"■","")</f>
        <v/>
      </c>
      <c r="K7" s="14">
        <f>IF(AND(K$5&lt;=$E7,K$5+6&gt;=$D7),"■","")</f>
        <v/>
      </c>
      <c r="L7" s="14">
        <f>IF(AND(L$5&lt;=$E7,L$5+6&gt;=$D7),"■","")</f>
        <v/>
      </c>
      <c r="M7" s="14">
        <f>IF(AND(M$5&lt;=$E7,M$5+6&gt;=$D7),"■","")</f>
        <v/>
      </c>
      <c r="N7" s="14">
        <f>IF(AND(N$5&lt;=$E7,N$5+6&gt;=$D7),"■","")</f>
        <v/>
      </c>
      <c r="O7" s="14">
        <f>IF(AND(O$5&lt;=$E7,O$5+6&gt;=$D7),"■","")</f>
        <v/>
      </c>
      <c r="P7" s="14">
        <f>IF(AND(P$5&lt;=$E7,P$5+6&gt;=$D7),"■","")</f>
        <v/>
      </c>
      <c r="Q7" s="14">
        <f>IF(AND(Q$5&lt;=$E7,Q$5+6&gt;=$D7),"■","")</f>
        <v/>
      </c>
      <c r="R7" s="14">
        <f>IF(AND(R$5&lt;=$E7,R$5+6&gt;=$D7),"■","")</f>
        <v/>
      </c>
      <c r="S7" s="14">
        <f>IF(AND(S$5&lt;=$E7,S$5+6&gt;=$D7),"■","")</f>
        <v/>
      </c>
      <c r="T7" s="14">
        <f>IF(AND(T$5&lt;=$E7,T$5+6&gt;=$D7),"■","")</f>
        <v/>
      </c>
      <c r="U7" s="14">
        <f>IF(AND(U$5&lt;=$E7,U$5+6&gt;=$D7),"■","")</f>
        <v/>
      </c>
      <c r="V7" s="14">
        <f>IF(AND(V$5&lt;=$E7,V$5+6&gt;=$D7),"■","")</f>
        <v/>
      </c>
      <c r="W7" s="14">
        <f>IF(AND(W$5&lt;=$E7,W$5+6&gt;=$D7),"■","")</f>
        <v/>
      </c>
      <c r="X7" s="14">
        <f>IF(AND(X$5&lt;=$E7,X$5+6&gt;=$D7),"■","")</f>
        <v/>
      </c>
      <c r="Y7" s="14">
        <f>IF(AND(Y$5&lt;=$E7,Y$5+6&gt;=$D7),"■","")</f>
        <v/>
      </c>
      <c r="Z7" s="14">
        <f>IF(AND(Z$5&lt;=$E7,Z$5+6&gt;=$D7),"■","")</f>
        <v/>
      </c>
      <c r="AA7" s="14">
        <f>IF(AND(AA$5&lt;=$E7,AA$5+6&gt;=$D7),"■","")</f>
        <v/>
      </c>
      <c r="AB7" s="14">
        <f>IF(AND(AB$5&lt;=$E7,AB$5+6&gt;=$D7),"■","")</f>
        <v/>
      </c>
      <c r="AC7" s="14">
        <f>IF(AND(AC$5&lt;=$E7,AC$5+6&gt;=$D7),"■","")</f>
        <v/>
      </c>
      <c r="AD7" s="14">
        <f>IF(AND(AD$5&lt;=$E7,AD$5+6&gt;=$D7),"■","")</f>
        <v/>
      </c>
      <c r="AE7" s="14">
        <f>IF(AND(AE$5&lt;=$E7,AE$5+6&gt;=$D7),"■","")</f>
        <v/>
      </c>
      <c r="AF7" s="14">
        <f>IF(AND(AF$5&lt;=$E7,AF$5+6&gt;=$D7),"■","")</f>
        <v/>
      </c>
      <c r="AG7" s="14">
        <f>IF(AND(AG$5&lt;=$E7,AG$5+6&gt;=$D7),"■","")</f>
        <v/>
      </c>
      <c r="AH7" s="14">
        <f>IF(AND(AH$5&lt;=$E7,AH$5+6&gt;=$D7),"■","")</f>
        <v/>
      </c>
      <c r="AI7" s="14">
        <f>IF(AND(AI$5&lt;=$E7,AI$5+6&gt;=$D7),"■","")</f>
        <v/>
      </c>
      <c r="AJ7" s="14">
        <f>IF(AND(AJ$5&lt;=$E7,AJ$5+6&gt;=$D7),"■","")</f>
        <v/>
      </c>
      <c r="AK7" s="14">
        <f>IF(AND(AK$5&lt;=$E7,AK$5+6&gt;=$D7),"■","")</f>
        <v/>
      </c>
      <c r="AL7" s="14">
        <f>IF(AND(AL$5&lt;=$E7,AL$5+6&gt;=$D7),"■","")</f>
        <v/>
      </c>
      <c r="AM7" s="14">
        <f>IF(AND(AM$5&lt;=$E7,AM$5+6&gt;=$D7),"■","")</f>
        <v/>
      </c>
      <c r="AN7" s="14">
        <f>IF(AND(AN$5&lt;=$E7,AN$5+6&gt;=$D7),"■","")</f>
        <v/>
      </c>
      <c r="AO7" s="14">
        <f>IF(AND(AO$5&lt;=$E7,AO$5+6&gt;=$D7),"■","")</f>
        <v/>
      </c>
      <c r="AP7" s="14">
        <f>IF(AND(AP$5&lt;=$E7,AP$5+6&gt;=$D7),"■","")</f>
        <v/>
      </c>
      <c r="AQ7" s="14">
        <f>IF(AND(AQ$5&lt;=$E7,AQ$5+6&gt;=$D7),"■","")</f>
        <v/>
      </c>
      <c r="AR7" s="14">
        <f>IF(AND(AR$5&lt;=$E7,AR$5+6&gt;=$D7),"■","")</f>
        <v/>
      </c>
      <c r="AS7" s="14">
        <f>IF(AND(AS$5&lt;=$E7,AS$5+6&gt;=$D7),"■","")</f>
        <v/>
      </c>
      <c r="AT7" s="14">
        <f>IF(AND(AT$5&lt;=$E7,AT$5+6&gt;=$D7),"■","")</f>
        <v/>
      </c>
      <c r="AU7" s="48">
        <f>IF(AND(AU$5&lt;=$E7,AU$5+6&gt;=$D7),"■","")</f>
        <v/>
      </c>
      <c r="AV7" s="14">
        <f>IF(AND(AV$5&lt;=$E7,AV$5+6&gt;=$D7),"■","")</f>
        <v/>
      </c>
    </row>
    <row r="8" ht="42" customHeight="1">
      <c r="A8" s="11">
        <f>'History'!A4</f>
        <v/>
      </c>
      <c r="B8" s="46">
        <f>'History'!B4</f>
        <v/>
      </c>
      <c r="C8" s="11">
        <f>'History'!C4</f>
        <v/>
      </c>
      <c r="D8" s="47">
        <f>'History'!D4</f>
        <v/>
      </c>
      <c r="E8" s="47">
        <f>'History'!E4</f>
        <v/>
      </c>
      <c r="F8" s="11">
        <f>'History'!G4</f>
        <v/>
      </c>
      <c r="G8" s="11">
        <f>IF($E8&lt;$B$3,"Plan elapsed",IF($D8&lt;=$B$3,"In plan window","Future"))</f>
        <v/>
      </c>
      <c r="H8" s="11">
        <f>'History'!M4</f>
        <v/>
      </c>
      <c r="I8" s="11">
        <f>'History'!N4</f>
        <v/>
      </c>
      <c r="J8" s="14">
        <f>IF(AND(J$5&lt;=$E8,J$5+6&gt;=$D8),"■","")</f>
        <v/>
      </c>
      <c r="K8" s="14">
        <f>IF(AND(K$5&lt;=$E8,K$5+6&gt;=$D8),"■","")</f>
        <v/>
      </c>
      <c r="L8" s="14">
        <f>IF(AND(L$5&lt;=$E8,L$5+6&gt;=$D8),"■","")</f>
        <v/>
      </c>
      <c r="M8" s="14">
        <f>IF(AND(M$5&lt;=$E8,M$5+6&gt;=$D8),"■","")</f>
        <v/>
      </c>
      <c r="N8" s="14">
        <f>IF(AND(N$5&lt;=$E8,N$5+6&gt;=$D8),"■","")</f>
        <v/>
      </c>
      <c r="O8" s="14">
        <f>IF(AND(O$5&lt;=$E8,O$5+6&gt;=$D8),"■","")</f>
        <v/>
      </c>
      <c r="P8" s="14">
        <f>IF(AND(P$5&lt;=$E8,P$5+6&gt;=$D8),"■","")</f>
        <v/>
      </c>
      <c r="Q8" s="14">
        <f>IF(AND(Q$5&lt;=$E8,Q$5+6&gt;=$D8),"■","")</f>
        <v/>
      </c>
      <c r="R8" s="14">
        <f>IF(AND(R$5&lt;=$E8,R$5+6&gt;=$D8),"■","")</f>
        <v/>
      </c>
      <c r="S8" s="14">
        <f>IF(AND(S$5&lt;=$E8,S$5+6&gt;=$D8),"■","")</f>
        <v/>
      </c>
      <c r="T8" s="14">
        <f>IF(AND(T$5&lt;=$E8,T$5+6&gt;=$D8),"■","")</f>
        <v/>
      </c>
      <c r="U8" s="14">
        <f>IF(AND(U$5&lt;=$E8,U$5+6&gt;=$D8),"■","")</f>
        <v/>
      </c>
      <c r="V8" s="14">
        <f>IF(AND(V$5&lt;=$E8,V$5+6&gt;=$D8),"■","")</f>
        <v/>
      </c>
      <c r="W8" s="14">
        <f>IF(AND(W$5&lt;=$E8,W$5+6&gt;=$D8),"■","")</f>
        <v/>
      </c>
      <c r="X8" s="14">
        <f>IF(AND(X$5&lt;=$E8,X$5+6&gt;=$D8),"■","")</f>
        <v/>
      </c>
      <c r="Y8" s="14">
        <f>IF(AND(Y$5&lt;=$E8,Y$5+6&gt;=$D8),"■","")</f>
        <v/>
      </c>
      <c r="Z8" s="14">
        <f>IF(AND(Z$5&lt;=$E8,Z$5+6&gt;=$D8),"■","")</f>
        <v/>
      </c>
      <c r="AA8" s="14">
        <f>IF(AND(AA$5&lt;=$E8,AA$5+6&gt;=$D8),"■","")</f>
        <v/>
      </c>
      <c r="AB8" s="14">
        <f>IF(AND(AB$5&lt;=$E8,AB$5+6&gt;=$D8),"■","")</f>
        <v/>
      </c>
      <c r="AC8" s="14">
        <f>IF(AND(AC$5&lt;=$E8,AC$5+6&gt;=$D8),"■","")</f>
        <v/>
      </c>
      <c r="AD8" s="14">
        <f>IF(AND(AD$5&lt;=$E8,AD$5+6&gt;=$D8),"■","")</f>
        <v/>
      </c>
      <c r="AE8" s="14">
        <f>IF(AND(AE$5&lt;=$E8,AE$5+6&gt;=$D8),"■","")</f>
        <v/>
      </c>
      <c r="AF8" s="14">
        <f>IF(AND(AF$5&lt;=$E8,AF$5+6&gt;=$D8),"■","")</f>
        <v/>
      </c>
      <c r="AG8" s="14">
        <f>IF(AND(AG$5&lt;=$E8,AG$5+6&gt;=$D8),"■","")</f>
        <v/>
      </c>
      <c r="AH8" s="14">
        <f>IF(AND(AH$5&lt;=$E8,AH$5+6&gt;=$D8),"■","")</f>
        <v/>
      </c>
      <c r="AI8" s="14">
        <f>IF(AND(AI$5&lt;=$E8,AI$5+6&gt;=$D8),"■","")</f>
        <v/>
      </c>
      <c r="AJ8" s="14">
        <f>IF(AND(AJ$5&lt;=$E8,AJ$5+6&gt;=$D8),"■","")</f>
        <v/>
      </c>
      <c r="AK8" s="14">
        <f>IF(AND(AK$5&lt;=$E8,AK$5+6&gt;=$D8),"■","")</f>
        <v/>
      </c>
      <c r="AL8" s="14">
        <f>IF(AND(AL$5&lt;=$E8,AL$5+6&gt;=$D8),"■","")</f>
        <v/>
      </c>
      <c r="AM8" s="14">
        <f>IF(AND(AM$5&lt;=$E8,AM$5+6&gt;=$D8),"■","")</f>
        <v/>
      </c>
      <c r="AN8" s="14">
        <f>IF(AND(AN$5&lt;=$E8,AN$5+6&gt;=$D8),"■","")</f>
        <v/>
      </c>
      <c r="AO8" s="14">
        <f>IF(AND(AO$5&lt;=$E8,AO$5+6&gt;=$D8),"■","")</f>
        <v/>
      </c>
      <c r="AP8" s="14">
        <f>IF(AND(AP$5&lt;=$E8,AP$5+6&gt;=$D8),"■","")</f>
        <v/>
      </c>
      <c r="AQ8" s="14">
        <f>IF(AND(AQ$5&lt;=$E8,AQ$5+6&gt;=$D8),"■","")</f>
        <v/>
      </c>
      <c r="AR8" s="14">
        <f>IF(AND(AR$5&lt;=$E8,AR$5+6&gt;=$D8),"■","")</f>
        <v/>
      </c>
      <c r="AS8" s="14">
        <f>IF(AND(AS$5&lt;=$E8,AS$5+6&gt;=$D8),"■","")</f>
        <v/>
      </c>
      <c r="AT8" s="14">
        <f>IF(AND(AT$5&lt;=$E8,AT$5+6&gt;=$D8),"■","")</f>
        <v/>
      </c>
      <c r="AU8" s="48">
        <f>IF(AND(AU$5&lt;=$E8,AU$5+6&gt;=$D8),"■","")</f>
        <v/>
      </c>
      <c r="AV8" s="14">
        <f>IF(AND(AV$5&lt;=$E8,AV$5+6&gt;=$D8),"■","")</f>
        <v/>
      </c>
    </row>
    <row r="9" ht="42" customHeight="1">
      <c r="A9" s="11">
        <f>'History'!A5</f>
        <v/>
      </c>
      <c r="B9" s="49">
        <f>'History'!B5</f>
        <v/>
      </c>
      <c r="C9" s="11">
        <f>'History'!C5</f>
        <v/>
      </c>
      <c r="D9" s="47">
        <f>'History'!D5</f>
        <v/>
      </c>
      <c r="E9" s="47">
        <f>'History'!E5</f>
        <v/>
      </c>
      <c r="F9" s="11">
        <f>'History'!G5</f>
        <v/>
      </c>
      <c r="G9" s="11">
        <f>IF($E9&lt;$B$3,"Plan elapsed",IF($D9&lt;=$B$3,"In plan window","Future"))</f>
        <v/>
      </c>
      <c r="H9" s="11">
        <f>'History'!M5</f>
        <v/>
      </c>
      <c r="I9" s="11">
        <f>'History'!N5</f>
        <v/>
      </c>
      <c r="J9" s="16">
        <f>IF(AND(J$5&lt;=$E9,J$5+6&gt;=$D9),"■","")</f>
        <v/>
      </c>
      <c r="K9" s="16">
        <f>IF(AND(K$5&lt;=$E9,K$5+6&gt;=$D9),"■","")</f>
        <v/>
      </c>
      <c r="L9" s="16">
        <f>IF(AND(L$5&lt;=$E9,L$5+6&gt;=$D9),"■","")</f>
        <v/>
      </c>
      <c r="M9" s="16">
        <f>IF(AND(M$5&lt;=$E9,M$5+6&gt;=$D9),"■","")</f>
        <v/>
      </c>
      <c r="N9" s="16">
        <f>IF(AND(N$5&lt;=$E9,N$5+6&gt;=$D9),"■","")</f>
        <v/>
      </c>
      <c r="O9" s="16">
        <f>IF(AND(O$5&lt;=$E9,O$5+6&gt;=$D9),"■","")</f>
        <v/>
      </c>
      <c r="P9" s="16">
        <f>IF(AND(P$5&lt;=$E9,P$5+6&gt;=$D9),"■","")</f>
        <v/>
      </c>
      <c r="Q9" s="16">
        <f>IF(AND(Q$5&lt;=$E9,Q$5+6&gt;=$D9),"■","")</f>
        <v/>
      </c>
      <c r="R9" s="16">
        <f>IF(AND(R$5&lt;=$E9,R$5+6&gt;=$D9),"■","")</f>
        <v/>
      </c>
      <c r="S9" s="16">
        <f>IF(AND(S$5&lt;=$E9,S$5+6&gt;=$D9),"■","")</f>
        <v/>
      </c>
      <c r="T9" s="16">
        <f>IF(AND(T$5&lt;=$E9,T$5+6&gt;=$D9),"■","")</f>
        <v/>
      </c>
      <c r="U9" s="16">
        <f>IF(AND(U$5&lt;=$E9,U$5+6&gt;=$D9),"■","")</f>
        <v/>
      </c>
      <c r="V9" s="16">
        <f>IF(AND(V$5&lt;=$E9,V$5+6&gt;=$D9),"■","")</f>
        <v/>
      </c>
      <c r="W9" s="16">
        <f>IF(AND(W$5&lt;=$E9,W$5+6&gt;=$D9),"■","")</f>
        <v/>
      </c>
      <c r="X9" s="16">
        <f>IF(AND(X$5&lt;=$E9,X$5+6&gt;=$D9),"■","")</f>
        <v/>
      </c>
      <c r="Y9" s="16">
        <f>IF(AND(Y$5&lt;=$E9,Y$5+6&gt;=$D9),"■","")</f>
        <v/>
      </c>
      <c r="Z9" s="16">
        <f>IF(AND(Z$5&lt;=$E9,Z$5+6&gt;=$D9),"■","")</f>
        <v/>
      </c>
      <c r="AA9" s="16">
        <f>IF(AND(AA$5&lt;=$E9,AA$5+6&gt;=$D9),"■","")</f>
        <v/>
      </c>
      <c r="AB9" s="16">
        <f>IF(AND(AB$5&lt;=$E9,AB$5+6&gt;=$D9),"■","")</f>
        <v/>
      </c>
      <c r="AC9" s="16">
        <f>IF(AND(AC$5&lt;=$E9,AC$5+6&gt;=$D9),"■","")</f>
        <v/>
      </c>
      <c r="AD9" s="16">
        <f>IF(AND(AD$5&lt;=$E9,AD$5+6&gt;=$D9),"■","")</f>
        <v/>
      </c>
      <c r="AE9" s="16">
        <f>IF(AND(AE$5&lt;=$E9,AE$5+6&gt;=$D9),"■","")</f>
        <v/>
      </c>
      <c r="AF9" s="16">
        <f>IF(AND(AF$5&lt;=$E9,AF$5+6&gt;=$D9),"■","")</f>
        <v/>
      </c>
      <c r="AG9" s="16">
        <f>IF(AND(AG$5&lt;=$E9,AG$5+6&gt;=$D9),"■","")</f>
        <v/>
      </c>
      <c r="AH9" s="16">
        <f>IF(AND(AH$5&lt;=$E9,AH$5+6&gt;=$D9),"■","")</f>
        <v/>
      </c>
      <c r="AI9" s="16">
        <f>IF(AND(AI$5&lt;=$E9,AI$5+6&gt;=$D9),"■","")</f>
        <v/>
      </c>
      <c r="AJ9" s="16">
        <f>IF(AND(AJ$5&lt;=$E9,AJ$5+6&gt;=$D9),"■","")</f>
        <v/>
      </c>
      <c r="AK9" s="16">
        <f>IF(AND(AK$5&lt;=$E9,AK$5+6&gt;=$D9),"■","")</f>
        <v/>
      </c>
      <c r="AL9" s="16">
        <f>IF(AND(AL$5&lt;=$E9,AL$5+6&gt;=$D9),"■","")</f>
        <v/>
      </c>
      <c r="AM9" s="16">
        <f>IF(AND(AM$5&lt;=$E9,AM$5+6&gt;=$D9),"■","")</f>
        <v/>
      </c>
      <c r="AN9" s="16">
        <f>IF(AND(AN$5&lt;=$E9,AN$5+6&gt;=$D9),"■","")</f>
        <v/>
      </c>
      <c r="AO9" s="16">
        <f>IF(AND(AO$5&lt;=$E9,AO$5+6&gt;=$D9),"■","")</f>
        <v/>
      </c>
      <c r="AP9" s="16">
        <f>IF(AND(AP$5&lt;=$E9,AP$5+6&gt;=$D9),"■","")</f>
        <v/>
      </c>
      <c r="AQ9" s="16">
        <f>IF(AND(AQ$5&lt;=$E9,AQ$5+6&gt;=$D9),"■","")</f>
        <v/>
      </c>
      <c r="AR9" s="16">
        <f>IF(AND(AR$5&lt;=$E9,AR$5+6&gt;=$D9),"■","")</f>
        <v/>
      </c>
      <c r="AS9" s="16">
        <f>IF(AND(AS$5&lt;=$E9,AS$5+6&gt;=$D9),"■","")</f>
        <v/>
      </c>
      <c r="AT9" s="16">
        <f>IF(AND(AT$5&lt;=$E9,AT$5+6&gt;=$D9),"■","")</f>
        <v/>
      </c>
      <c r="AU9" s="50">
        <f>IF(AND(AU$5&lt;=$E9,AU$5+6&gt;=$D9),"■","")</f>
        <v/>
      </c>
      <c r="AV9" s="16">
        <f>IF(AND(AV$5&lt;=$E9,AV$5+6&gt;=$D9),"■","")</f>
        <v/>
      </c>
    </row>
    <row r="10" ht="42" customHeight="1">
      <c r="A10" s="11">
        <f>'History'!A6</f>
        <v/>
      </c>
      <c r="B10" s="49">
        <f>'History'!B6</f>
        <v/>
      </c>
      <c r="C10" s="11">
        <f>'History'!C6</f>
        <v/>
      </c>
      <c r="D10" s="47">
        <f>'History'!D6</f>
        <v/>
      </c>
      <c r="E10" s="47">
        <f>'History'!E6</f>
        <v/>
      </c>
      <c r="F10" s="11">
        <f>'History'!G6</f>
        <v/>
      </c>
      <c r="G10" s="11">
        <f>IF($E10&lt;$B$3,"Plan elapsed",IF($D10&lt;=$B$3,"In plan window","Future"))</f>
        <v/>
      </c>
      <c r="H10" s="11">
        <f>'History'!M6</f>
        <v/>
      </c>
      <c r="I10" s="11">
        <f>'History'!N6</f>
        <v/>
      </c>
      <c r="J10" s="16">
        <f>IF(AND(J$5&lt;=$E10,J$5+6&gt;=$D10),"■","")</f>
        <v/>
      </c>
      <c r="K10" s="16">
        <f>IF(AND(K$5&lt;=$E10,K$5+6&gt;=$D10),"■","")</f>
        <v/>
      </c>
      <c r="L10" s="16">
        <f>IF(AND(L$5&lt;=$E10,L$5+6&gt;=$D10),"■","")</f>
        <v/>
      </c>
      <c r="M10" s="16">
        <f>IF(AND(M$5&lt;=$E10,M$5+6&gt;=$D10),"■","")</f>
        <v/>
      </c>
      <c r="N10" s="16">
        <f>IF(AND(N$5&lt;=$E10,N$5+6&gt;=$D10),"■","")</f>
        <v/>
      </c>
      <c r="O10" s="16">
        <f>IF(AND(O$5&lt;=$E10,O$5+6&gt;=$D10),"■","")</f>
        <v/>
      </c>
      <c r="P10" s="16">
        <f>IF(AND(P$5&lt;=$E10,P$5+6&gt;=$D10),"■","")</f>
        <v/>
      </c>
      <c r="Q10" s="16">
        <f>IF(AND(Q$5&lt;=$E10,Q$5+6&gt;=$D10),"■","")</f>
        <v/>
      </c>
      <c r="R10" s="16">
        <f>IF(AND(R$5&lt;=$E10,R$5+6&gt;=$D10),"■","")</f>
        <v/>
      </c>
      <c r="S10" s="16">
        <f>IF(AND(S$5&lt;=$E10,S$5+6&gt;=$D10),"■","")</f>
        <v/>
      </c>
      <c r="T10" s="16">
        <f>IF(AND(T$5&lt;=$E10,T$5+6&gt;=$D10),"■","")</f>
        <v/>
      </c>
      <c r="U10" s="16">
        <f>IF(AND(U$5&lt;=$E10,U$5+6&gt;=$D10),"■","")</f>
        <v/>
      </c>
      <c r="V10" s="16">
        <f>IF(AND(V$5&lt;=$E10,V$5+6&gt;=$D10),"■","")</f>
        <v/>
      </c>
      <c r="W10" s="16">
        <f>IF(AND(W$5&lt;=$E10,W$5+6&gt;=$D10),"■","")</f>
        <v/>
      </c>
      <c r="X10" s="16">
        <f>IF(AND(X$5&lt;=$E10,X$5+6&gt;=$D10),"■","")</f>
        <v/>
      </c>
      <c r="Y10" s="16">
        <f>IF(AND(Y$5&lt;=$E10,Y$5+6&gt;=$D10),"■","")</f>
        <v/>
      </c>
      <c r="Z10" s="16">
        <f>IF(AND(Z$5&lt;=$E10,Z$5+6&gt;=$D10),"■","")</f>
        <v/>
      </c>
      <c r="AA10" s="16">
        <f>IF(AND(AA$5&lt;=$E10,AA$5+6&gt;=$D10),"■","")</f>
        <v/>
      </c>
      <c r="AB10" s="16">
        <f>IF(AND(AB$5&lt;=$E10,AB$5+6&gt;=$D10),"■","")</f>
        <v/>
      </c>
      <c r="AC10" s="16">
        <f>IF(AND(AC$5&lt;=$E10,AC$5+6&gt;=$D10),"■","")</f>
        <v/>
      </c>
      <c r="AD10" s="16">
        <f>IF(AND(AD$5&lt;=$E10,AD$5+6&gt;=$D10),"■","")</f>
        <v/>
      </c>
      <c r="AE10" s="16">
        <f>IF(AND(AE$5&lt;=$E10,AE$5+6&gt;=$D10),"■","")</f>
        <v/>
      </c>
      <c r="AF10" s="16">
        <f>IF(AND(AF$5&lt;=$E10,AF$5+6&gt;=$D10),"■","")</f>
        <v/>
      </c>
      <c r="AG10" s="16">
        <f>IF(AND(AG$5&lt;=$E10,AG$5+6&gt;=$D10),"■","")</f>
        <v/>
      </c>
      <c r="AH10" s="16">
        <f>IF(AND(AH$5&lt;=$E10,AH$5+6&gt;=$D10),"■","")</f>
        <v/>
      </c>
      <c r="AI10" s="16">
        <f>IF(AND(AI$5&lt;=$E10,AI$5+6&gt;=$D10),"■","")</f>
        <v/>
      </c>
      <c r="AJ10" s="16">
        <f>IF(AND(AJ$5&lt;=$E10,AJ$5+6&gt;=$D10),"■","")</f>
        <v/>
      </c>
      <c r="AK10" s="16">
        <f>IF(AND(AK$5&lt;=$E10,AK$5+6&gt;=$D10),"■","")</f>
        <v/>
      </c>
      <c r="AL10" s="16">
        <f>IF(AND(AL$5&lt;=$E10,AL$5+6&gt;=$D10),"■","")</f>
        <v/>
      </c>
      <c r="AM10" s="16">
        <f>IF(AND(AM$5&lt;=$E10,AM$5+6&gt;=$D10),"■","")</f>
        <v/>
      </c>
      <c r="AN10" s="16">
        <f>IF(AND(AN$5&lt;=$E10,AN$5+6&gt;=$D10),"■","")</f>
        <v/>
      </c>
      <c r="AO10" s="16">
        <f>IF(AND(AO$5&lt;=$E10,AO$5+6&gt;=$D10),"■","")</f>
        <v/>
      </c>
      <c r="AP10" s="16">
        <f>IF(AND(AP$5&lt;=$E10,AP$5+6&gt;=$D10),"■","")</f>
        <v/>
      </c>
      <c r="AQ10" s="16">
        <f>IF(AND(AQ$5&lt;=$E10,AQ$5+6&gt;=$D10),"■","")</f>
        <v/>
      </c>
      <c r="AR10" s="16">
        <f>IF(AND(AR$5&lt;=$E10,AR$5+6&gt;=$D10),"■","")</f>
        <v/>
      </c>
      <c r="AS10" s="16">
        <f>IF(AND(AS$5&lt;=$E10,AS$5+6&gt;=$D10),"■","")</f>
        <v/>
      </c>
      <c r="AT10" s="16">
        <f>IF(AND(AT$5&lt;=$E10,AT$5+6&gt;=$D10),"■","")</f>
        <v/>
      </c>
      <c r="AU10" s="50">
        <f>IF(AND(AU$5&lt;=$E10,AU$5+6&gt;=$D10),"■","")</f>
        <v/>
      </c>
      <c r="AV10" s="16">
        <f>IF(AND(AV$5&lt;=$E10,AV$5+6&gt;=$D10),"■","")</f>
        <v/>
      </c>
    </row>
    <row r="11" ht="42" customHeight="1">
      <c r="A11" s="11">
        <f>'History'!A7</f>
        <v/>
      </c>
      <c r="B11" s="51">
        <f>'History'!B7</f>
        <v/>
      </c>
      <c r="C11" s="11">
        <f>'History'!C7</f>
        <v/>
      </c>
      <c r="D11" s="47">
        <f>'History'!D7</f>
        <v/>
      </c>
      <c r="E11" s="47">
        <f>'History'!E7</f>
        <v/>
      </c>
      <c r="F11" s="11">
        <f>'History'!G7</f>
        <v/>
      </c>
      <c r="G11" s="11">
        <f>IF($E11&lt;$B$3,"Plan elapsed",IF($D11&lt;=$B$3,"In plan window","Future"))</f>
        <v/>
      </c>
      <c r="H11" s="11">
        <f>'History'!M7</f>
        <v/>
      </c>
      <c r="I11" s="11">
        <f>'History'!N7</f>
        <v/>
      </c>
      <c r="J11" s="18">
        <f>IF(AND(J$5&lt;=$E11,J$5+6&gt;=$D11),"■","")</f>
        <v/>
      </c>
      <c r="K11" s="18">
        <f>IF(AND(K$5&lt;=$E11,K$5+6&gt;=$D11),"■","")</f>
        <v/>
      </c>
      <c r="L11" s="18">
        <f>IF(AND(L$5&lt;=$E11,L$5+6&gt;=$D11),"■","")</f>
        <v/>
      </c>
      <c r="M11" s="18">
        <f>IF(AND(M$5&lt;=$E11,M$5+6&gt;=$D11),"■","")</f>
        <v/>
      </c>
      <c r="N11" s="18">
        <f>IF(AND(N$5&lt;=$E11,N$5+6&gt;=$D11),"■","")</f>
        <v/>
      </c>
      <c r="O11" s="18">
        <f>IF(AND(O$5&lt;=$E11,O$5+6&gt;=$D11),"■","")</f>
        <v/>
      </c>
      <c r="P11" s="18">
        <f>IF(AND(P$5&lt;=$E11,P$5+6&gt;=$D11),"■","")</f>
        <v/>
      </c>
      <c r="Q11" s="18">
        <f>IF(AND(Q$5&lt;=$E11,Q$5+6&gt;=$D11),"■","")</f>
        <v/>
      </c>
      <c r="R11" s="18">
        <f>IF(AND(R$5&lt;=$E11,R$5+6&gt;=$D11),"■","")</f>
        <v/>
      </c>
      <c r="S11" s="18">
        <f>IF(AND(S$5&lt;=$E11,S$5+6&gt;=$D11),"■","")</f>
        <v/>
      </c>
      <c r="T11" s="18">
        <f>IF(AND(T$5&lt;=$E11,T$5+6&gt;=$D11),"■","")</f>
        <v/>
      </c>
      <c r="U11" s="18">
        <f>IF(AND(U$5&lt;=$E11,U$5+6&gt;=$D11),"■","")</f>
        <v/>
      </c>
      <c r="V11" s="18">
        <f>IF(AND(V$5&lt;=$E11,V$5+6&gt;=$D11),"■","")</f>
        <v/>
      </c>
      <c r="W11" s="18">
        <f>IF(AND(W$5&lt;=$E11,W$5+6&gt;=$D11),"■","")</f>
        <v/>
      </c>
      <c r="X11" s="18">
        <f>IF(AND(X$5&lt;=$E11,X$5+6&gt;=$D11),"■","")</f>
        <v/>
      </c>
      <c r="Y11" s="18">
        <f>IF(AND(Y$5&lt;=$E11,Y$5+6&gt;=$D11),"■","")</f>
        <v/>
      </c>
      <c r="Z11" s="18">
        <f>IF(AND(Z$5&lt;=$E11,Z$5+6&gt;=$D11),"■","")</f>
        <v/>
      </c>
      <c r="AA11" s="18">
        <f>IF(AND(AA$5&lt;=$E11,AA$5+6&gt;=$D11),"■","")</f>
        <v/>
      </c>
      <c r="AB11" s="18">
        <f>IF(AND(AB$5&lt;=$E11,AB$5+6&gt;=$D11),"■","")</f>
        <v/>
      </c>
      <c r="AC11" s="18">
        <f>IF(AND(AC$5&lt;=$E11,AC$5+6&gt;=$D11),"■","")</f>
        <v/>
      </c>
      <c r="AD11" s="18">
        <f>IF(AND(AD$5&lt;=$E11,AD$5+6&gt;=$D11),"■","")</f>
        <v/>
      </c>
      <c r="AE11" s="18">
        <f>IF(AND(AE$5&lt;=$E11,AE$5+6&gt;=$D11),"■","")</f>
        <v/>
      </c>
      <c r="AF11" s="18">
        <f>IF(AND(AF$5&lt;=$E11,AF$5+6&gt;=$D11),"■","")</f>
        <v/>
      </c>
      <c r="AG11" s="18">
        <f>IF(AND(AG$5&lt;=$E11,AG$5+6&gt;=$D11),"■","")</f>
        <v/>
      </c>
      <c r="AH11" s="18">
        <f>IF(AND(AH$5&lt;=$E11,AH$5+6&gt;=$D11),"■","")</f>
        <v/>
      </c>
      <c r="AI11" s="18">
        <f>IF(AND(AI$5&lt;=$E11,AI$5+6&gt;=$D11),"■","")</f>
        <v/>
      </c>
      <c r="AJ11" s="18">
        <f>IF(AND(AJ$5&lt;=$E11,AJ$5+6&gt;=$D11),"■","")</f>
        <v/>
      </c>
      <c r="AK11" s="18">
        <f>IF(AND(AK$5&lt;=$E11,AK$5+6&gt;=$D11),"■","")</f>
        <v/>
      </c>
      <c r="AL11" s="18">
        <f>IF(AND(AL$5&lt;=$E11,AL$5+6&gt;=$D11),"■","")</f>
        <v/>
      </c>
      <c r="AM11" s="18">
        <f>IF(AND(AM$5&lt;=$E11,AM$5+6&gt;=$D11),"■","")</f>
        <v/>
      </c>
      <c r="AN11" s="18">
        <f>IF(AND(AN$5&lt;=$E11,AN$5+6&gt;=$D11),"■","")</f>
        <v/>
      </c>
      <c r="AO11" s="18">
        <f>IF(AND(AO$5&lt;=$E11,AO$5+6&gt;=$D11),"■","")</f>
        <v/>
      </c>
      <c r="AP11" s="18">
        <f>IF(AND(AP$5&lt;=$E11,AP$5+6&gt;=$D11),"■","")</f>
        <v/>
      </c>
      <c r="AQ11" s="18">
        <f>IF(AND(AQ$5&lt;=$E11,AQ$5+6&gt;=$D11),"■","")</f>
        <v/>
      </c>
      <c r="AR11" s="18">
        <f>IF(AND(AR$5&lt;=$E11,AR$5+6&gt;=$D11),"■","")</f>
        <v/>
      </c>
      <c r="AS11" s="18">
        <f>IF(AND(AS$5&lt;=$E11,AS$5+6&gt;=$D11),"■","")</f>
        <v/>
      </c>
      <c r="AT11" s="18">
        <f>IF(AND(AT$5&lt;=$E11,AT$5+6&gt;=$D11),"■","")</f>
        <v/>
      </c>
      <c r="AU11" s="52">
        <f>IF(AND(AU$5&lt;=$E11,AU$5+6&gt;=$D11),"■","")</f>
        <v/>
      </c>
      <c r="AV11" s="18">
        <f>IF(AND(AV$5&lt;=$E11,AV$5+6&gt;=$D11),"■","")</f>
        <v/>
      </c>
    </row>
    <row r="12" ht="42" customHeight="1">
      <c r="A12" s="11">
        <f>'History'!A8</f>
        <v/>
      </c>
      <c r="B12" s="51">
        <f>'History'!B8</f>
        <v/>
      </c>
      <c r="C12" s="11">
        <f>'History'!C8</f>
        <v/>
      </c>
      <c r="D12" s="47">
        <f>'History'!D8</f>
        <v/>
      </c>
      <c r="E12" s="47">
        <f>'History'!E8</f>
        <v/>
      </c>
      <c r="F12" s="11">
        <f>'History'!G8</f>
        <v/>
      </c>
      <c r="G12" s="11">
        <f>IF($E12&lt;$B$3,"Plan elapsed",IF($D12&lt;=$B$3,"In plan window","Future"))</f>
        <v/>
      </c>
      <c r="H12" s="11">
        <f>'History'!M8</f>
        <v/>
      </c>
      <c r="I12" s="11">
        <f>'History'!N8</f>
        <v/>
      </c>
      <c r="J12" s="18">
        <f>IF(AND(J$5&lt;=$E12,J$5+6&gt;=$D12),"■","")</f>
        <v/>
      </c>
      <c r="K12" s="18">
        <f>IF(AND(K$5&lt;=$E12,K$5+6&gt;=$D12),"■","")</f>
        <v/>
      </c>
      <c r="L12" s="18">
        <f>IF(AND(L$5&lt;=$E12,L$5+6&gt;=$D12),"■","")</f>
        <v/>
      </c>
      <c r="M12" s="18">
        <f>IF(AND(M$5&lt;=$E12,M$5+6&gt;=$D12),"■","")</f>
        <v/>
      </c>
      <c r="N12" s="18">
        <f>IF(AND(N$5&lt;=$E12,N$5+6&gt;=$D12),"■","")</f>
        <v/>
      </c>
      <c r="O12" s="18">
        <f>IF(AND(O$5&lt;=$E12,O$5+6&gt;=$D12),"■","")</f>
        <v/>
      </c>
      <c r="P12" s="18">
        <f>IF(AND(P$5&lt;=$E12,P$5+6&gt;=$D12),"■","")</f>
        <v/>
      </c>
      <c r="Q12" s="18">
        <f>IF(AND(Q$5&lt;=$E12,Q$5+6&gt;=$D12),"■","")</f>
        <v/>
      </c>
      <c r="R12" s="18">
        <f>IF(AND(R$5&lt;=$E12,R$5+6&gt;=$D12),"■","")</f>
        <v/>
      </c>
      <c r="S12" s="18">
        <f>IF(AND(S$5&lt;=$E12,S$5+6&gt;=$D12),"■","")</f>
        <v/>
      </c>
      <c r="T12" s="18">
        <f>IF(AND(T$5&lt;=$E12,T$5+6&gt;=$D12),"■","")</f>
        <v/>
      </c>
      <c r="U12" s="18">
        <f>IF(AND(U$5&lt;=$E12,U$5+6&gt;=$D12),"■","")</f>
        <v/>
      </c>
      <c r="V12" s="18">
        <f>IF(AND(V$5&lt;=$E12,V$5+6&gt;=$D12),"■","")</f>
        <v/>
      </c>
      <c r="W12" s="18">
        <f>IF(AND(W$5&lt;=$E12,W$5+6&gt;=$D12),"■","")</f>
        <v/>
      </c>
      <c r="X12" s="18">
        <f>IF(AND(X$5&lt;=$E12,X$5+6&gt;=$D12),"■","")</f>
        <v/>
      </c>
      <c r="Y12" s="18">
        <f>IF(AND(Y$5&lt;=$E12,Y$5+6&gt;=$D12),"■","")</f>
        <v/>
      </c>
      <c r="Z12" s="18">
        <f>IF(AND(Z$5&lt;=$E12,Z$5+6&gt;=$D12),"■","")</f>
        <v/>
      </c>
      <c r="AA12" s="18">
        <f>IF(AND(AA$5&lt;=$E12,AA$5+6&gt;=$D12),"■","")</f>
        <v/>
      </c>
      <c r="AB12" s="18">
        <f>IF(AND(AB$5&lt;=$E12,AB$5+6&gt;=$D12),"■","")</f>
        <v/>
      </c>
      <c r="AC12" s="18">
        <f>IF(AND(AC$5&lt;=$E12,AC$5+6&gt;=$D12),"■","")</f>
        <v/>
      </c>
      <c r="AD12" s="18">
        <f>IF(AND(AD$5&lt;=$E12,AD$5+6&gt;=$D12),"■","")</f>
        <v/>
      </c>
      <c r="AE12" s="18">
        <f>IF(AND(AE$5&lt;=$E12,AE$5+6&gt;=$D12),"■","")</f>
        <v/>
      </c>
      <c r="AF12" s="18">
        <f>IF(AND(AF$5&lt;=$E12,AF$5+6&gt;=$D12),"■","")</f>
        <v/>
      </c>
      <c r="AG12" s="18">
        <f>IF(AND(AG$5&lt;=$E12,AG$5+6&gt;=$D12),"■","")</f>
        <v/>
      </c>
      <c r="AH12" s="18">
        <f>IF(AND(AH$5&lt;=$E12,AH$5+6&gt;=$D12),"■","")</f>
        <v/>
      </c>
      <c r="AI12" s="18">
        <f>IF(AND(AI$5&lt;=$E12,AI$5+6&gt;=$D12),"■","")</f>
        <v/>
      </c>
      <c r="AJ12" s="18">
        <f>IF(AND(AJ$5&lt;=$E12,AJ$5+6&gt;=$D12),"■","")</f>
        <v/>
      </c>
      <c r="AK12" s="18">
        <f>IF(AND(AK$5&lt;=$E12,AK$5+6&gt;=$D12),"■","")</f>
        <v/>
      </c>
      <c r="AL12" s="18">
        <f>IF(AND(AL$5&lt;=$E12,AL$5+6&gt;=$D12),"■","")</f>
        <v/>
      </c>
      <c r="AM12" s="18">
        <f>IF(AND(AM$5&lt;=$E12,AM$5+6&gt;=$D12),"■","")</f>
        <v/>
      </c>
      <c r="AN12" s="18">
        <f>IF(AND(AN$5&lt;=$E12,AN$5+6&gt;=$D12),"■","")</f>
        <v/>
      </c>
      <c r="AO12" s="18">
        <f>IF(AND(AO$5&lt;=$E12,AO$5+6&gt;=$D12),"■","")</f>
        <v/>
      </c>
      <c r="AP12" s="18">
        <f>IF(AND(AP$5&lt;=$E12,AP$5+6&gt;=$D12),"■","")</f>
        <v/>
      </c>
      <c r="AQ12" s="18">
        <f>IF(AND(AQ$5&lt;=$E12,AQ$5+6&gt;=$D12),"■","")</f>
        <v/>
      </c>
      <c r="AR12" s="18">
        <f>IF(AND(AR$5&lt;=$E12,AR$5+6&gt;=$D12),"■","")</f>
        <v/>
      </c>
      <c r="AS12" s="18">
        <f>IF(AND(AS$5&lt;=$E12,AS$5+6&gt;=$D12),"■","")</f>
        <v/>
      </c>
      <c r="AT12" s="18">
        <f>IF(AND(AT$5&lt;=$E12,AT$5+6&gt;=$D12),"■","")</f>
        <v/>
      </c>
      <c r="AU12" s="52">
        <f>IF(AND(AU$5&lt;=$E12,AU$5+6&gt;=$D12),"■","")</f>
        <v/>
      </c>
      <c r="AV12" s="18">
        <f>IF(AND(AV$5&lt;=$E12,AV$5+6&gt;=$D12),"■","")</f>
        <v/>
      </c>
    </row>
    <row r="13" ht="42" customHeight="1">
      <c r="A13" s="11">
        <f>'History'!A9</f>
        <v/>
      </c>
      <c r="B13" s="53">
        <f>'History'!B9</f>
        <v/>
      </c>
      <c r="C13" s="11">
        <f>'History'!C9</f>
        <v/>
      </c>
      <c r="D13" s="47">
        <f>'History'!D9</f>
        <v/>
      </c>
      <c r="E13" s="47">
        <f>'History'!E9</f>
        <v/>
      </c>
      <c r="F13" s="11">
        <f>'History'!G9</f>
        <v/>
      </c>
      <c r="G13" s="11">
        <f>IF($E13&lt;$B$3,"Plan elapsed",IF($D13&lt;=$B$3,"In plan window","Future"))</f>
        <v/>
      </c>
      <c r="H13" s="11">
        <f>'History'!M9</f>
        <v/>
      </c>
      <c r="I13" s="11">
        <f>'History'!N9</f>
        <v/>
      </c>
      <c r="J13" s="20">
        <f>IF(AND(J$5&lt;=$E13,J$5+6&gt;=$D13),"■","")</f>
        <v/>
      </c>
      <c r="K13" s="20">
        <f>IF(AND(K$5&lt;=$E13,K$5+6&gt;=$D13),"■","")</f>
        <v/>
      </c>
      <c r="L13" s="20">
        <f>IF(AND(L$5&lt;=$E13,L$5+6&gt;=$D13),"■","")</f>
        <v/>
      </c>
      <c r="M13" s="20">
        <f>IF(AND(M$5&lt;=$E13,M$5+6&gt;=$D13),"■","")</f>
        <v/>
      </c>
      <c r="N13" s="20">
        <f>IF(AND(N$5&lt;=$E13,N$5+6&gt;=$D13),"■","")</f>
        <v/>
      </c>
      <c r="O13" s="20">
        <f>IF(AND(O$5&lt;=$E13,O$5+6&gt;=$D13),"■","")</f>
        <v/>
      </c>
      <c r="P13" s="20">
        <f>IF(AND(P$5&lt;=$E13,P$5+6&gt;=$D13),"■","")</f>
        <v/>
      </c>
      <c r="Q13" s="20">
        <f>IF(AND(Q$5&lt;=$E13,Q$5+6&gt;=$D13),"■","")</f>
        <v/>
      </c>
      <c r="R13" s="20">
        <f>IF(AND(R$5&lt;=$E13,R$5+6&gt;=$D13),"■","")</f>
        <v/>
      </c>
      <c r="S13" s="20">
        <f>IF(AND(S$5&lt;=$E13,S$5+6&gt;=$D13),"■","")</f>
        <v/>
      </c>
      <c r="T13" s="20">
        <f>IF(AND(T$5&lt;=$E13,T$5+6&gt;=$D13),"■","")</f>
        <v/>
      </c>
      <c r="U13" s="20">
        <f>IF(AND(U$5&lt;=$E13,U$5+6&gt;=$D13),"■","")</f>
        <v/>
      </c>
      <c r="V13" s="20">
        <f>IF(AND(V$5&lt;=$E13,V$5+6&gt;=$D13),"■","")</f>
        <v/>
      </c>
      <c r="W13" s="20">
        <f>IF(AND(W$5&lt;=$E13,W$5+6&gt;=$D13),"■","")</f>
        <v/>
      </c>
      <c r="X13" s="20">
        <f>IF(AND(X$5&lt;=$E13,X$5+6&gt;=$D13),"■","")</f>
        <v/>
      </c>
      <c r="Y13" s="20">
        <f>IF(AND(Y$5&lt;=$E13,Y$5+6&gt;=$D13),"■","")</f>
        <v/>
      </c>
      <c r="Z13" s="20">
        <f>IF(AND(Z$5&lt;=$E13,Z$5+6&gt;=$D13),"■","")</f>
        <v/>
      </c>
      <c r="AA13" s="20">
        <f>IF(AND(AA$5&lt;=$E13,AA$5+6&gt;=$D13),"■","")</f>
        <v/>
      </c>
      <c r="AB13" s="20">
        <f>IF(AND(AB$5&lt;=$E13,AB$5+6&gt;=$D13),"■","")</f>
        <v/>
      </c>
      <c r="AC13" s="20">
        <f>IF(AND(AC$5&lt;=$E13,AC$5+6&gt;=$D13),"■","")</f>
        <v/>
      </c>
      <c r="AD13" s="20">
        <f>IF(AND(AD$5&lt;=$E13,AD$5+6&gt;=$D13),"■","")</f>
        <v/>
      </c>
      <c r="AE13" s="20">
        <f>IF(AND(AE$5&lt;=$E13,AE$5+6&gt;=$D13),"■","")</f>
        <v/>
      </c>
      <c r="AF13" s="20">
        <f>IF(AND(AF$5&lt;=$E13,AF$5+6&gt;=$D13),"■","")</f>
        <v/>
      </c>
      <c r="AG13" s="20">
        <f>IF(AND(AG$5&lt;=$E13,AG$5+6&gt;=$D13),"■","")</f>
        <v/>
      </c>
      <c r="AH13" s="20">
        <f>IF(AND(AH$5&lt;=$E13,AH$5+6&gt;=$D13),"■","")</f>
        <v/>
      </c>
      <c r="AI13" s="20">
        <f>IF(AND(AI$5&lt;=$E13,AI$5+6&gt;=$D13),"■","")</f>
        <v/>
      </c>
      <c r="AJ13" s="20">
        <f>IF(AND(AJ$5&lt;=$E13,AJ$5+6&gt;=$D13),"■","")</f>
        <v/>
      </c>
      <c r="AK13" s="20">
        <f>IF(AND(AK$5&lt;=$E13,AK$5+6&gt;=$D13),"■","")</f>
        <v/>
      </c>
      <c r="AL13" s="20">
        <f>IF(AND(AL$5&lt;=$E13,AL$5+6&gt;=$D13),"■","")</f>
        <v/>
      </c>
      <c r="AM13" s="20">
        <f>IF(AND(AM$5&lt;=$E13,AM$5+6&gt;=$D13),"■","")</f>
        <v/>
      </c>
      <c r="AN13" s="20">
        <f>IF(AND(AN$5&lt;=$E13,AN$5+6&gt;=$D13),"■","")</f>
        <v/>
      </c>
      <c r="AO13" s="20">
        <f>IF(AND(AO$5&lt;=$E13,AO$5+6&gt;=$D13),"■","")</f>
        <v/>
      </c>
      <c r="AP13" s="20">
        <f>IF(AND(AP$5&lt;=$E13,AP$5+6&gt;=$D13),"■","")</f>
        <v/>
      </c>
      <c r="AQ13" s="20">
        <f>IF(AND(AQ$5&lt;=$E13,AQ$5+6&gt;=$D13),"■","")</f>
        <v/>
      </c>
      <c r="AR13" s="20">
        <f>IF(AND(AR$5&lt;=$E13,AR$5+6&gt;=$D13),"■","")</f>
        <v/>
      </c>
      <c r="AS13" s="20">
        <f>IF(AND(AS$5&lt;=$E13,AS$5+6&gt;=$D13),"■","")</f>
        <v/>
      </c>
      <c r="AT13" s="20">
        <f>IF(AND(AT$5&lt;=$E13,AT$5+6&gt;=$D13),"■","")</f>
        <v/>
      </c>
      <c r="AU13" s="54">
        <f>IF(AND(AU$5&lt;=$E13,AU$5+6&gt;=$D13),"■","")</f>
        <v/>
      </c>
      <c r="AV13" s="20">
        <f>IF(AND(AV$5&lt;=$E13,AV$5+6&gt;=$D13),"■","")</f>
        <v/>
      </c>
    </row>
    <row r="14" ht="42" customHeight="1">
      <c r="A14" s="11">
        <f>'History'!A10</f>
        <v/>
      </c>
      <c r="B14" s="53">
        <f>'History'!B10</f>
        <v/>
      </c>
      <c r="C14" s="11">
        <f>'History'!C10</f>
        <v/>
      </c>
      <c r="D14" s="47">
        <f>'History'!D10</f>
        <v/>
      </c>
      <c r="E14" s="47">
        <f>'History'!E10</f>
        <v/>
      </c>
      <c r="F14" s="11">
        <f>'History'!G10</f>
        <v/>
      </c>
      <c r="G14" s="11">
        <f>IF($E14&lt;$B$3,"Plan elapsed",IF($D14&lt;=$B$3,"In plan window","Future"))</f>
        <v/>
      </c>
      <c r="H14" s="11">
        <f>'History'!M10</f>
        <v/>
      </c>
      <c r="I14" s="11">
        <f>'History'!N10</f>
        <v/>
      </c>
      <c r="J14" s="20">
        <f>IF(AND(J$5&lt;=$E14,J$5+6&gt;=$D14),"■","")</f>
        <v/>
      </c>
      <c r="K14" s="20">
        <f>IF(AND(K$5&lt;=$E14,K$5+6&gt;=$D14),"■","")</f>
        <v/>
      </c>
      <c r="L14" s="20">
        <f>IF(AND(L$5&lt;=$E14,L$5+6&gt;=$D14),"■","")</f>
        <v/>
      </c>
      <c r="M14" s="20">
        <f>IF(AND(M$5&lt;=$E14,M$5+6&gt;=$D14),"■","")</f>
        <v/>
      </c>
      <c r="N14" s="20">
        <f>IF(AND(N$5&lt;=$E14,N$5+6&gt;=$D14),"■","")</f>
        <v/>
      </c>
      <c r="O14" s="20">
        <f>IF(AND(O$5&lt;=$E14,O$5+6&gt;=$D14),"■","")</f>
        <v/>
      </c>
      <c r="P14" s="20">
        <f>IF(AND(P$5&lt;=$E14,P$5+6&gt;=$D14),"■","")</f>
        <v/>
      </c>
      <c r="Q14" s="20">
        <f>IF(AND(Q$5&lt;=$E14,Q$5+6&gt;=$D14),"■","")</f>
        <v/>
      </c>
      <c r="R14" s="20">
        <f>IF(AND(R$5&lt;=$E14,R$5+6&gt;=$D14),"■","")</f>
        <v/>
      </c>
      <c r="S14" s="20">
        <f>IF(AND(S$5&lt;=$E14,S$5+6&gt;=$D14),"■","")</f>
        <v/>
      </c>
      <c r="T14" s="20">
        <f>IF(AND(T$5&lt;=$E14,T$5+6&gt;=$D14),"■","")</f>
        <v/>
      </c>
      <c r="U14" s="20">
        <f>IF(AND(U$5&lt;=$E14,U$5+6&gt;=$D14),"■","")</f>
        <v/>
      </c>
      <c r="V14" s="20">
        <f>IF(AND(V$5&lt;=$E14,V$5+6&gt;=$D14),"■","")</f>
        <v/>
      </c>
      <c r="W14" s="20">
        <f>IF(AND(W$5&lt;=$E14,W$5+6&gt;=$D14),"■","")</f>
        <v/>
      </c>
      <c r="X14" s="20">
        <f>IF(AND(X$5&lt;=$E14,X$5+6&gt;=$D14),"■","")</f>
        <v/>
      </c>
      <c r="Y14" s="20">
        <f>IF(AND(Y$5&lt;=$E14,Y$5+6&gt;=$D14),"■","")</f>
        <v/>
      </c>
      <c r="Z14" s="20">
        <f>IF(AND(Z$5&lt;=$E14,Z$5+6&gt;=$D14),"■","")</f>
        <v/>
      </c>
      <c r="AA14" s="20">
        <f>IF(AND(AA$5&lt;=$E14,AA$5+6&gt;=$D14),"■","")</f>
        <v/>
      </c>
      <c r="AB14" s="20">
        <f>IF(AND(AB$5&lt;=$E14,AB$5+6&gt;=$D14),"■","")</f>
        <v/>
      </c>
      <c r="AC14" s="20">
        <f>IF(AND(AC$5&lt;=$E14,AC$5+6&gt;=$D14),"■","")</f>
        <v/>
      </c>
      <c r="AD14" s="20">
        <f>IF(AND(AD$5&lt;=$E14,AD$5+6&gt;=$D14),"■","")</f>
        <v/>
      </c>
      <c r="AE14" s="20">
        <f>IF(AND(AE$5&lt;=$E14,AE$5+6&gt;=$D14),"■","")</f>
        <v/>
      </c>
      <c r="AF14" s="20">
        <f>IF(AND(AF$5&lt;=$E14,AF$5+6&gt;=$D14),"■","")</f>
        <v/>
      </c>
      <c r="AG14" s="20">
        <f>IF(AND(AG$5&lt;=$E14,AG$5+6&gt;=$D14),"■","")</f>
        <v/>
      </c>
      <c r="AH14" s="20">
        <f>IF(AND(AH$5&lt;=$E14,AH$5+6&gt;=$D14),"■","")</f>
        <v/>
      </c>
      <c r="AI14" s="20">
        <f>IF(AND(AI$5&lt;=$E14,AI$5+6&gt;=$D14),"■","")</f>
        <v/>
      </c>
      <c r="AJ14" s="20">
        <f>IF(AND(AJ$5&lt;=$E14,AJ$5+6&gt;=$D14),"■","")</f>
        <v/>
      </c>
      <c r="AK14" s="20">
        <f>IF(AND(AK$5&lt;=$E14,AK$5+6&gt;=$D14),"■","")</f>
        <v/>
      </c>
      <c r="AL14" s="20">
        <f>IF(AND(AL$5&lt;=$E14,AL$5+6&gt;=$D14),"■","")</f>
        <v/>
      </c>
      <c r="AM14" s="20">
        <f>IF(AND(AM$5&lt;=$E14,AM$5+6&gt;=$D14),"■","")</f>
        <v/>
      </c>
      <c r="AN14" s="20">
        <f>IF(AND(AN$5&lt;=$E14,AN$5+6&gt;=$D14),"■","")</f>
        <v/>
      </c>
      <c r="AO14" s="20">
        <f>IF(AND(AO$5&lt;=$E14,AO$5+6&gt;=$D14),"■","")</f>
        <v/>
      </c>
      <c r="AP14" s="20">
        <f>IF(AND(AP$5&lt;=$E14,AP$5+6&gt;=$D14),"■","")</f>
        <v/>
      </c>
      <c r="AQ14" s="20">
        <f>IF(AND(AQ$5&lt;=$E14,AQ$5+6&gt;=$D14),"■","")</f>
        <v/>
      </c>
      <c r="AR14" s="20">
        <f>IF(AND(AR$5&lt;=$E14,AR$5+6&gt;=$D14),"■","")</f>
        <v/>
      </c>
      <c r="AS14" s="20">
        <f>IF(AND(AS$5&lt;=$E14,AS$5+6&gt;=$D14),"■","")</f>
        <v/>
      </c>
      <c r="AT14" s="20">
        <f>IF(AND(AT$5&lt;=$E14,AT$5+6&gt;=$D14),"■","")</f>
        <v/>
      </c>
      <c r="AU14" s="54">
        <f>IF(AND(AU$5&lt;=$E14,AU$5+6&gt;=$D14),"■","")</f>
        <v/>
      </c>
      <c r="AV14" s="20">
        <f>IF(AND(AV$5&lt;=$E14,AV$5+6&gt;=$D14),"■","")</f>
        <v/>
      </c>
    </row>
    <row r="15" ht="42" customHeight="1">
      <c r="A15" s="11">
        <f>'History'!A11</f>
        <v/>
      </c>
      <c r="B15" s="55">
        <f>'History'!B11</f>
        <v/>
      </c>
      <c r="C15" s="11">
        <f>'History'!C11</f>
        <v/>
      </c>
      <c r="D15" s="47">
        <f>'History'!D11</f>
        <v/>
      </c>
      <c r="E15" s="47">
        <f>'History'!E11</f>
        <v/>
      </c>
      <c r="F15" s="11">
        <f>'History'!G11</f>
        <v/>
      </c>
      <c r="G15" s="11">
        <f>IF($E15&lt;$B$3,"Plan elapsed",IF($D15&lt;=$B$3,"In plan window","Future"))</f>
        <v/>
      </c>
      <c r="H15" s="11">
        <f>'History'!M11</f>
        <v/>
      </c>
      <c r="I15" s="11">
        <f>'History'!N11</f>
        <v/>
      </c>
      <c r="J15" s="22">
        <f>IF(AND(J$5&lt;=$E15,J$5+6&gt;=$D15),"■","")</f>
        <v/>
      </c>
      <c r="K15" s="22">
        <f>IF(AND(K$5&lt;=$E15,K$5+6&gt;=$D15),"■","")</f>
        <v/>
      </c>
      <c r="L15" s="22">
        <f>IF(AND(L$5&lt;=$E15,L$5+6&gt;=$D15),"■","")</f>
        <v/>
      </c>
      <c r="M15" s="22">
        <f>IF(AND(M$5&lt;=$E15,M$5+6&gt;=$D15),"■","")</f>
        <v/>
      </c>
      <c r="N15" s="22">
        <f>IF(AND(N$5&lt;=$E15,N$5+6&gt;=$D15),"■","")</f>
        <v/>
      </c>
      <c r="O15" s="22">
        <f>IF(AND(O$5&lt;=$E15,O$5+6&gt;=$D15),"■","")</f>
        <v/>
      </c>
      <c r="P15" s="22">
        <f>IF(AND(P$5&lt;=$E15,P$5+6&gt;=$D15),"■","")</f>
        <v/>
      </c>
      <c r="Q15" s="22">
        <f>IF(AND(Q$5&lt;=$E15,Q$5+6&gt;=$D15),"■","")</f>
        <v/>
      </c>
      <c r="R15" s="22">
        <f>IF(AND(R$5&lt;=$E15,R$5+6&gt;=$D15),"■","")</f>
        <v/>
      </c>
      <c r="S15" s="22">
        <f>IF(AND(S$5&lt;=$E15,S$5+6&gt;=$D15),"■","")</f>
        <v/>
      </c>
      <c r="T15" s="22">
        <f>IF(AND(T$5&lt;=$E15,T$5+6&gt;=$D15),"■","")</f>
        <v/>
      </c>
      <c r="U15" s="22">
        <f>IF(AND(U$5&lt;=$E15,U$5+6&gt;=$D15),"■","")</f>
        <v/>
      </c>
      <c r="V15" s="22">
        <f>IF(AND(V$5&lt;=$E15,V$5+6&gt;=$D15),"■","")</f>
        <v/>
      </c>
      <c r="W15" s="22">
        <f>IF(AND(W$5&lt;=$E15,W$5+6&gt;=$D15),"■","")</f>
        <v/>
      </c>
      <c r="X15" s="22">
        <f>IF(AND(X$5&lt;=$E15,X$5+6&gt;=$D15),"■","")</f>
        <v/>
      </c>
      <c r="Y15" s="22">
        <f>IF(AND(Y$5&lt;=$E15,Y$5+6&gt;=$D15),"■","")</f>
        <v/>
      </c>
      <c r="Z15" s="22">
        <f>IF(AND(Z$5&lt;=$E15,Z$5+6&gt;=$D15),"■","")</f>
        <v/>
      </c>
      <c r="AA15" s="22">
        <f>IF(AND(AA$5&lt;=$E15,AA$5+6&gt;=$D15),"■","")</f>
        <v/>
      </c>
      <c r="AB15" s="22">
        <f>IF(AND(AB$5&lt;=$E15,AB$5+6&gt;=$D15),"■","")</f>
        <v/>
      </c>
      <c r="AC15" s="22">
        <f>IF(AND(AC$5&lt;=$E15,AC$5+6&gt;=$D15),"■","")</f>
        <v/>
      </c>
      <c r="AD15" s="22">
        <f>IF(AND(AD$5&lt;=$E15,AD$5+6&gt;=$D15),"■","")</f>
        <v/>
      </c>
      <c r="AE15" s="22">
        <f>IF(AND(AE$5&lt;=$E15,AE$5+6&gt;=$D15),"■","")</f>
        <v/>
      </c>
      <c r="AF15" s="22">
        <f>IF(AND(AF$5&lt;=$E15,AF$5+6&gt;=$D15),"■","")</f>
        <v/>
      </c>
      <c r="AG15" s="22">
        <f>IF(AND(AG$5&lt;=$E15,AG$5+6&gt;=$D15),"■","")</f>
        <v/>
      </c>
      <c r="AH15" s="22">
        <f>IF(AND(AH$5&lt;=$E15,AH$5+6&gt;=$D15),"■","")</f>
        <v/>
      </c>
      <c r="AI15" s="22">
        <f>IF(AND(AI$5&lt;=$E15,AI$5+6&gt;=$D15),"■","")</f>
        <v/>
      </c>
      <c r="AJ15" s="22">
        <f>IF(AND(AJ$5&lt;=$E15,AJ$5+6&gt;=$D15),"■","")</f>
        <v/>
      </c>
      <c r="AK15" s="22">
        <f>IF(AND(AK$5&lt;=$E15,AK$5+6&gt;=$D15),"■","")</f>
        <v/>
      </c>
      <c r="AL15" s="22">
        <f>IF(AND(AL$5&lt;=$E15,AL$5+6&gt;=$D15),"■","")</f>
        <v/>
      </c>
      <c r="AM15" s="22">
        <f>IF(AND(AM$5&lt;=$E15,AM$5+6&gt;=$D15),"■","")</f>
        <v/>
      </c>
      <c r="AN15" s="22">
        <f>IF(AND(AN$5&lt;=$E15,AN$5+6&gt;=$D15),"■","")</f>
        <v/>
      </c>
      <c r="AO15" s="22">
        <f>IF(AND(AO$5&lt;=$E15,AO$5+6&gt;=$D15),"■","")</f>
        <v/>
      </c>
      <c r="AP15" s="22">
        <f>IF(AND(AP$5&lt;=$E15,AP$5+6&gt;=$D15),"■","")</f>
        <v/>
      </c>
      <c r="AQ15" s="22">
        <f>IF(AND(AQ$5&lt;=$E15,AQ$5+6&gt;=$D15),"■","")</f>
        <v/>
      </c>
      <c r="AR15" s="22">
        <f>IF(AND(AR$5&lt;=$E15,AR$5+6&gt;=$D15),"■","")</f>
        <v/>
      </c>
      <c r="AS15" s="22">
        <f>IF(AND(AS$5&lt;=$E15,AS$5+6&gt;=$D15),"■","")</f>
        <v/>
      </c>
      <c r="AT15" s="22">
        <f>IF(AND(AT$5&lt;=$E15,AT$5+6&gt;=$D15),"■","")</f>
        <v/>
      </c>
      <c r="AU15" s="56">
        <f>IF(AND(AU$5&lt;=$E15,AU$5+6&gt;=$D15),"■","")</f>
        <v/>
      </c>
      <c r="AV15" s="22">
        <f>IF(AND(AV$5&lt;=$E15,AV$5+6&gt;=$D15),"■","")</f>
        <v/>
      </c>
    </row>
    <row r="16" ht="42" customHeight="1">
      <c r="A16" s="11">
        <f>'History'!A12</f>
        <v/>
      </c>
      <c r="B16" s="55">
        <f>'History'!B12</f>
        <v/>
      </c>
      <c r="C16" s="11">
        <f>'History'!C12</f>
        <v/>
      </c>
      <c r="D16" s="47">
        <f>'History'!D12</f>
        <v/>
      </c>
      <c r="E16" s="47">
        <f>'History'!E12</f>
        <v/>
      </c>
      <c r="F16" s="11">
        <f>'History'!G12</f>
        <v/>
      </c>
      <c r="G16" s="11">
        <f>IF($E16&lt;$B$3,"Plan elapsed",IF($D16&lt;=$B$3,"In plan window","Future"))</f>
        <v/>
      </c>
      <c r="H16" s="11">
        <f>'History'!M12</f>
        <v/>
      </c>
      <c r="I16" s="11">
        <f>'History'!N12</f>
        <v/>
      </c>
      <c r="J16" s="22">
        <f>IF(AND(J$5&lt;=$E16,J$5+6&gt;=$D16),"■","")</f>
        <v/>
      </c>
      <c r="K16" s="22">
        <f>IF(AND(K$5&lt;=$E16,K$5+6&gt;=$D16),"■","")</f>
        <v/>
      </c>
      <c r="L16" s="22">
        <f>IF(AND(L$5&lt;=$E16,L$5+6&gt;=$D16),"■","")</f>
        <v/>
      </c>
      <c r="M16" s="22">
        <f>IF(AND(M$5&lt;=$E16,M$5+6&gt;=$D16),"■","")</f>
        <v/>
      </c>
      <c r="N16" s="22">
        <f>IF(AND(N$5&lt;=$E16,N$5+6&gt;=$D16),"■","")</f>
        <v/>
      </c>
      <c r="O16" s="22">
        <f>IF(AND(O$5&lt;=$E16,O$5+6&gt;=$D16),"■","")</f>
        <v/>
      </c>
      <c r="P16" s="22">
        <f>IF(AND(P$5&lt;=$E16,P$5+6&gt;=$D16),"■","")</f>
        <v/>
      </c>
      <c r="Q16" s="22">
        <f>IF(AND(Q$5&lt;=$E16,Q$5+6&gt;=$D16),"■","")</f>
        <v/>
      </c>
      <c r="R16" s="22">
        <f>IF(AND(R$5&lt;=$E16,R$5+6&gt;=$D16),"■","")</f>
        <v/>
      </c>
      <c r="S16" s="22">
        <f>IF(AND(S$5&lt;=$E16,S$5+6&gt;=$D16),"■","")</f>
        <v/>
      </c>
      <c r="T16" s="22">
        <f>IF(AND(T$5&lt;=$E16,T$5+6&gt;=$D16),"■","")</f>
        <v/>
      </c>
      <c r="U16" s="22">
        <f>IF(AND(U$5&lt;=$E16,U$5+6&gt;=$D16),"■","")</f>
        <v/>
      </c>
      <c r="V16" s="22">
        <f>IF(AND(V$5&lt;=$E16,V$5+6&gt;=$D16),"■","")</f>
        <v/>
      </c>
      <c r="W16" s="22">
        <f>IF(AND(W$5&lt;=$E16,W$5+6&gt;=$D16),"■","")</f>
        <v/>
      </c>
      <c r="X16" s="22">
        <f>IF(AND(X$5&lt;=$E16,X$5+6&gt;=$D16),"■","")</f>
        <v/>
      </c>
      <c r="Y16" s="22">
        <f>IF(AND(Y$5&lt;=$E16,Y$5+6&gt;=$D16),"■","")</f>
        <v/>
      </c>
      <c r="Z16" s="22">
        <f>IF(AND(Z$5&lt;=$E16,Z$5+6&gt;=$D16),"■","")</f>
        <v/>
      </c>
      <c r="AA16" s="22">
        <f>IF(AND(AA$5&lt;=$E16,AA$5+6&gt;=$D16),"■","")</f>
        <v/>
      </c>
      <c r="AB16" s="22">
        <f>IF(AND(AB$5&lt;=$E16,AB$5+6&gt;=$D16),"■","")</f>
        <v/>
      </c>
      <c r="AC16" s="22">
        <f>IF(AND(AC$5&lt;=$E16,AC$5+6&gt;=$D16),"■","")</f>
        <v/>
      </c>
      <c r="AD16" s="22">
        <f>IF(AND(AD$5&lt;=$E16,AD$5+6&gt;=$D16),"■","")</f>
        <v/>
      </c>
      <c r="AE16" s="22">
        <f>IF(AND(AE$5&lt;=$E16,AE$5+6&gt;=$D16),"■","")</f>
        <v/>
      </c>
      <c r="AF16" s="22">
        <f>IF(AND(AF$5&lt;=$E16,AF$5+6&gt;=$D16),"■","")</f>
        <v/>
      </c>
      <c r="AG16" s="22">
        <f>IF(AND(AG$5&lt;=$E16,AG$5+6&gt;=$D16),"■","")</f>
        <v/>
      </c>
      <c r="AH16" s="22">
        <f>IF(AND(AH$5&lt;=$E16,AH$5+6&gt;=$D16),"■","")</f>
        <v/>
      </c>
      <c r="AI16" s="22">
        <f>IF(AND(AI$5&lt;=$E16,AI$5+6&gt;=$D16),"■","")</f>
        <v/>
      </c>
      <c r="AJ16" s="22">
        <f>IF(AND(AJ$5&lt;=$E16,AJ$5+6&gt;=$D16),"■","")</f>
        <v/>
      </c>
      <c r="AK16" s="22">
        <f>IF(AND(AK$5&lt;=$E16,AK$5+6&gt;=$D16),"■","")</f>
        <v/>
      </c>
      <c r="AL16" s="22">
        <f>IF(AND(AL$5&lt;=$E16,AL$5+6&gt;=$D16),"■","")</f>
        <v/>
      </c>
      <c r="AM16" s="22">
        <f>IF(AND(AM$5&lt;=$E16,AM$5+6&gt;=$D16),"■","")</f>
        <v/>
      </c>
      <c r="AN16" s="22">
        <f>IF(AND(AN$5&lt;=$E16,AN$5+6&gt;=$D16),"■","")</f>
        <v/>
      </c>
      <c r="AO16" s="22">
        <f>IF(AND(AO$5&lt;=$E16,AO$5+6&gt;=$D16),"■","")</f>
        <v/>
      </c>
      <c r="AP16" s="22">
        <f>IF(AND(AP$5&lt;=$E16,AP$5+6&gt;=$D16),"■","")</f>
        <v/>
      </c>
      <c r="AQ16" s="22">
        <f>IF(AND(AQ$5&lt;=$E16,AQ$5+6&gt;=$D16),"■","")</f>
        <v/>
      </c>
      <c r="AR16" s="22">
        <f>IF(AND(AR$5&lt;=$E16,AR$5+6&gt;=$D16),"■","")</f>
        <v/>
      </c>
      <c r="AS16" s="22">
        <f>IF(AND(AS$5&lt;=$E16,AS$5+6&gt;=$D16),"■","")</f>
        <v/>
      </c>
      <c r="AT16" s="22">
        <f>IF(AND(AT$5&lt;=$E16,AT$5+6&gt;=$D16),"■","")</f>
        <v/>
      </c>
      <c r="AU16" s="56">
        <f>IF(AND(AU$5&lt;=$E16,AU$5+6&gt;=$D16),"■","")</f>
        <v/>
      </c>
      <c r="AV16" s="22">
        <f>IF(AND(AV$5&lt;=$E16,AV$5+6&gt;=$D16),"■","")</f>
        <v/>
      </c>
    </row>
    <row r="17" ht="42" customHeight="1">
      <c r="A17" s="11">
        <f>'History'!A13</f>
        <v/>
      </c>
      <c r="B17" s="57">
        <f>'History'!B13</f>
        <v/>
      </c>
      <c r="C17" s="11">
        <f>'History'!C13</f>
        <v/>
      </c>
      <c r="D17" s="47">
        <f>'History'!D13</f>
        <v/>
      </c>
      <c r="E17" s="47">
        <f>'History'!E13</f>
        <v/>
      </c>
      <c r="F17" s="11">
        <f>'History'!G13</f>
        <v/>
      </c>
      <c r="G17" s="11">
        <f>IF($E17&lt;$B$3,"Plan elapsed",IF($D17&lt;=$B$3,"In plan window","Future"))</f>
        <v/>
      </c>
      <c r="H17" s="11">
        <f>'History'!M13</f>
        <v/>
      </c>
      <c r="I17" s="11">
        <f>'History'!N13</f>
        <v/>
      </c>
      <c r="J17" s="24">
        <f>IF(AND(J$5&lt;=$E17,J$5+6&gt;=$D17),"■","")</f>
        <v/>
      </c>
      <c r="K17" s="24">
        <f>IF(AND(K$5&lt;=$E17,K$5+6&gt;=$D17),"■","")</f>
        <v/>
      </c>
      <c r="L17" s="24">
        <f>IF(AND(L$5&lt;=$E17,L$5+6&gt;=$D17),"■","")</f>
        <v/>
      </c>
      <c r="M17" s="24">
        <f>IF(AND(M$5&lt;=$E17,M$5+6&gt;=$D17),"■","")</f>
        <v/>
      </c>
      <c r="N17" s="24">
        <f>IF(AND(N$5&lt;=$E17,N$5+6&gt;=$D17),"■","")</f>
        <v/>
      </c>
      <c r="O17" s="24">
        <f>IF(AND(O$5&lt;=$E17,O$5+6&gt;=$D17),"■","")</f>
        <v/>
      </c>
      <c r="P17" s="24">
        <f>IF(AND(P$5&lt;=$E17,P$5+6&gt;=$D17),"■","")</f>
        <v/>
      </c>
      <c r="Q17" s="24">
        <f>IF(AND(Q$5&lt;=$E17,Q$5+6&gt;=$D17),"■","")</f>
        <v/>
      </c>
      <c r="R17" s="24">
        <f>IF(AND(R$5&lt;=$E17,R$5+6&gt;=$D17),"■","")</f>
        <v/>
      </c>
      <c r="S17" s="24">
        <f>IF(AND(S$5&lt;=$E17,S$5+6&gt;=$D17),"■","")</f>
        <v/>
      </c>
      <c r="T17" s="24">
        <f>IF(AND(T$5&lt;=$E17,T$5+6&gt;=$D17),"■","")</f>
        <v/>
      </c>
      <c r="U17" s="24">
        <f>IF(AND(U$5&lt;=$E17,U$5+6&gt;=$D17),"■","")</f>
        <v/>
      </c>
      <c r="V17" s="24">
        <f>IF(AND(V$5&lt;=$E17,V$5+6&gt;=$D17),"■","")</f>
        <v/>
      </c>
      <c r="W17" s="24">
        <f>IF(AND(W$5&lt;=$E17,W$5+6&gt;=$D17),"■","")</f>
        <v/>
      </c>
      <c r="X17" s="24">
        <f>IF(AND(X$5&lt;=$E17,X$5+6&gt;=$D17),"■","")</f>
        <v/>
      </c>
      <c r="Y17" s="24">
        <f>IF(AND(Y$5&lt;=$E17,Y$5+6&gt;=$D17),"■","")</f>
        <v/>
      </c>
      <c r="Z17" s="24">
        <f>IF(AND(Z$5&lt;=$E17,Z$5+6&gt;=$D17),"■","")</f>
        <v/>
      </c>
      <c r="AA17" s="24">
        <f>IF(AND(AA$5&lt;=$E17,AA$5+6&gt;=$D17),"■","")</f>
        <v/>
      </c>
      <c r="AB17" s="24">
        <f>IF(AND(AB$5&lt;=$E17,AB$5+6&gt;=$D17),"■","")</f>
        <v/>
      </c>
      <c r="AC17" s="24">
        <f>IF(AND(AC$5&lt;=$E17,AC$5+6&gt;=$D17),"■","")</f>
        <v/>
      </c>
      <c r="AD17" s="24">
        <f>IF(AND(AD$5&lt;=$E17,AD$5+6&gt;=$D17),"■","")</f>
        <v/>
      </c>
      <c r="AE17" s="24">
        <f>IF(AND(AE$5&lt;=$E17,AE$5+6&gt;=$D17),"■","")</f>
        <v/>
      </c>
      <c r="AF17" s="24">
        <f>IF(AND(AF$5&lt;=$E17,AF$5+6&gt;=$D17),"■","")</f>
        <v/>
      </c>
      <c r="AG17" s="24">
        <f>IF(AND(AG$5&lt;=$E17,AG$5+6&gt;=$D17),"■","")</f>
        <v/>
      </c>
      <c r="AH17" s="24">
        <f>IF(AND(AH$5&lt;=$E17,AH$5+6&gt;=$D17),"■","")</f>
        <v/>
      </c>
      <c r="AI17" s="24">
        <f>IF(AND(AI$5&lt;=$E17,AI$5+6&gt;=$D17),"■","")</f>
        <v/>
      </c>
      <c r="AJ17" s="24">
        <f>IF(AND(AJ$5&lt;=$E17,AJ$5+6&gt;=$D17),"■","")</f>
        <v/>
      </c>
      <c r="AK17" s="24">
        <f>IF(AND(AK$5&lt;=$E17,AK$5+6&gt;=$D17),"■","")</f>
        <v/>
      </c>
      <c r="AL17" s="24">
        <f>IF(AND(AL$5&lt;=$E17,AL$5+6&gt;=$D17),"■","")</f>
        <v/>
      </c>
      <c r="AM17" s="24">
        <f>IF(AND(AM$5&lt;=$E17,AM$5+6&gt;=$D17),"■","")</f>
        <v/>
      </c>
      <c r="AN17" s="24">
        <f>IF(AND(AN$5&lt;=$E17,AN$5+6&gt;=$D17),"■","")</f>
        <v/>
      </c>
      <c r="AO17" s="24">
        <f>IF(AND(AO$5&lt;=$E17,AO$5+6&gt;=$D17),"■","")</f>
        <v/>
      </c>
      <c r="AP17" s="24">
        <f>IF(AND(AP$5&lt;=$E17,AP$5+6&gt;=$D17),"■","")</f>
        <v/>
      </c>
      <c r="AQ17" s="24">
        <f>IF(AND(AQ$5&lt;=$E17,AQ$5+6&gt;=$D17),"■","")</f>
        <v/>
      </c>
      <c r="AR17" s="24">
        <f>IF(AND(AR$5&lt;=$E17,AR$5+6&gt;=$D17),"■","")</f>
        <v/>
      </c>
      <c r="AS17" s="24">
        <f>IF(AND(AS$5&lt;=$E17,AS$5+6&gt;=$D17),"■","")</f>
        <v/>
      </c>
      <c r="AT17" s="24">
        <f>IF(AND(AT$5&lt;=$E17,AT$5+6&gt;=$D17),"■","")</f>
        <v/>
      </c>
      <c r="AU17" s="58">
        <f>IF(AND(AU$5&lt;=$E17,AU$5+6&gt;=$D17),"■","")</f>
        <v/>
      </c>
      <c r="AV17" s="24">
        <f>IF(AND(AV$5&lt;=$E17,AV$5+6&gt;=$D17),"■","")</f>
        <v/>
      </c>
    </row>
    <row r="18" ht="42" customHeight="1">
      <c r="A18" s="11">
        <f>'History'!A14</f>
        <v/>
      </c>
      <c r="B18" s="57">
        <f>'History'!B14</f>
        <v/>
      </c>
      <c r="C18" s="11">
        <f>'History'!C14</f>
        <v/>
      </c>
      <c r="D18" s="47">
        <f>'History'!D14</f>
        <v/>
      </c>
      <c r="E18" s="47">
        <f>'History'!E14</f>
        <v/>
      </c>
      <c r="F18" s="11">
        <f>'History'!G14</f>
        <v/>
      </c>
      <c r="G18" s="11">
        <f>IF($E18&lt;$B$3,"Plan elapsed",IF($D18&lt;=$B$3,"In plan window","Future"))</f>
        <v/>
      </c>
      <c r="H18" s="11">
        <f>'History'!M14</f>
        <v/>
      </c>
      <c r="I18" s="11">
        <f>'History'!N14</f>
        <v/>
      </c>
      <c r="J18" s="24">
        <f>IF(AND(J$5&lt;=$E18,J$5+6&gt;=$D18),"■","")</f>
        <v/>
      </c>
      <c r="K18" s="24">
        <f>IF(AND(K$5&lt;=$E18,K$5+6&gt;=$D18),"■","")</f>
        <v/>
      </c>
      <c r="L18" s="24">
        <f>IF(AND(L$5&lt;=$E18,L$5+6&gt;=$D18),"■","")</f>
        <v/>
      </c>
      <c r="M18" s="24">
        <f>IF(AND(M$5&lt;=$E18,M$5+6&gt;=$D18),"■","")</f>
        <v/>
      </c>
      <c r="N18" s="24">
        <f>IF(AND(N$5&lt;=$E18,N$5+6&gt;=$D18),"■","")</f>
        <v/>
      </c>
      <c r="O18" s="24">
        <f>IF(AND(O$5&lt;=$E18,O$5+6&gt;=$D18),"■","")</f>
        <v/>
      </c>
      <c r="P18" s="24">
        <f>IF(AND(P$5&lt;=$E18,P$5+6&gt;=$D18),"■","")</f>
        <v/>
      </c>
      <c r="Q18" s="24">
        <f>IF(AND(Q$5&lt;=$E18,Q$5+6&gt;=$D18),"■","")</f>
        <v/>
      </c>
      <c r="R18" s="24">
        <f>IF(AND(R$5&lt;=$E18,R$5+6&gt;=$D18),"■","")</f>
        <v/>
      </c>
      <c r="S18" s="24">
        <f>IF(AND(S$5&lt;=$E18,S$5+6&gt;=$D18),"■","")</f>
        <v/>
      </c>
      <c r="T18" s="24">
        <f>IF(AND(T$5&lt;=$E18,T$5+6&gt;=$D18),"■","")</f>
        <v/>
      </c>
      <c r="U18" s="24">
        <f>IF(AND(U$5&lt;=$E18,U$5+6&gt;=$D18),"■","")</f>
        <v/>
      </c>
      <c r="V18" s="24">
        <f>IF(AND(V$5&lt;=$E18,V$5+6&gt;=$D18),"■","")</f>
        <v/>
      </c>
      <c r="W18" s="24">
        <f>IF(AND(W$5&lt;=$E18,W$5+6&gt;=$D18),"■","")</f>
        <v/>
      </c>
      <c r="X18" s="24">
        <f>IF(AND(X$5&lt;=$E18,X$5+6&gt;=$D18),"■","")</f>
        <v/>
      </c>
      <c r="Y18" s="24">
        <f>IF(AND(Y$5&lt;=$E18,Y$5+6&gt;=$D18),"■","")</f>
        <v/>
      </c>
      <c r="Z18" s="24">
        <f>IF(AND(Z$5&lt;=$E18,Z$5+6&gt;=$D18),"■","")</f>
        <v/>
      </c>
      <c r="AA18" s="24">
        <f>IF(AND(AA$5&lt;=$E18,AA$5+6&gt;=$D18),"■","")</f>
        <v/>
      </c>
      <c r="AB18" s="24">
        <f>IF(AND(AB$5&lt;=$E18,AB$5+6&gt;=$D18),"■","")</f>
        <v/>
      </c>
      <c r="AC18" s="24">
        <f>IF(AND(AC$5&lt;=$E18,AC$5+6&gt;=$D18),"■","")</f>
        <v/>
      </c>
      <c r="AD18" s="24">
        <f>IF(AND(AD$5&lt;=$E18,AD$5+6&gt;=$D18),"■","")</f>
        <v/>
      </c>
      <c r="AE18" s="24">
        <f>IF(AND(AE$5&lt;=$E18,AE$5+6&gt;=$D18),"■","")</f>
        <v/>
      </c>
      <c r="AF18" s="24">
        <f>IF(AND(AF$5&lt;=$E18,AF$5+6&gt;=$D18),"■","")</f>
        <v/>
      </c>
      <c r="AG18" s="24">
        <f>IF(AND(AG$5&lt;=$E18,AG$5+6&gt;=$D18),"■","")</f>
        <v/>
      </c>
      <c r="AH18" s="24">
        <f>IF(AND(AH$5&lt;=$E18,AH$5+6&gt;=$D18),"■","")</f>
        <v/>
      </c>
      <c r="AI18" s="24">
        <f>IF(AND(AI$5&lt;=$E18,AI$5+6&gt;=$D18),"■","")</f>
        <v/>
      </c>
      <c r="AJ18" s="24">
        <f>IF(AND(AJ$5&lt;=$E18,AJ$5+6&gt;=$D18),"■","")</f>
        <v/>
      </c>
      <c r="AK18" s="24">
        <f>IF(AND(AK$5&lt;=$E18,AK$5+6&gt;=$D18),"■","")</f>
        <v/>
      </c>
      <c r="AL18" s="24">
        <f>IF(AND(AL$5&lt;=$E18,AL$5+6&gt;=$D18),"■","")</f>
        <v/>
      </c>
      <c r="AM18" s="24">
        <f>IF(AND(AM$5&lt;=$E18,AM$5+6&gt;=$D18),"■","")</f>
        <v/>
      </c>
      <c r="AN18" s="24">
        <f>IF(AND(AN$5&lt;=$E18,AN$5+6&gt;=$D18),"■","")</f>
        <v/>
      </c>
      <c r="AO18" s="24">
        <f>IF(AND(AO$5&lt;=$E18,AO$5+6&gt;=$D18),"■","")</f>
        <v/>
      </c>
      <c r="AP18" s="24">
        <f>IF(AND(AP$5&lt;=$E18,AP$5+6&gt;=$D18),"■","")</f>
        <v/>
      </c>
      <c r="AQ18" s="24">
        <f>IF(AND(AQ$5&lt;=$E18,AQ$5+6&gt;=$D18),"■","")</f>
        <v/>
      </c>
      <c r="AR18" s="24">
        <f>IF(AND(AR$5&lt;=$E18,AR$5+6&gt;=$D18),"■","")</f>
        <v/>
      </c>
      <c r="AS18" s="24">
        <f>IF(AND(AS$5&lt;=$E18,AS$5+6&gt;=$D18),"■","")</f>
        <v/>
      </c>
      <c r="AT18" s="24">
        <f>IF(AND(AT$5&lt;=$E18,AT$5+6&gt;=$D18),"■","")</f>
        <v/>
      </c>
      <c r="AU18" s="58">
        <f>IF(AND(AU$5&lt;=$E18,AU$5+6&gt;=$D18),"■","")</f>
        <v/>
      </c>
      <c r="AV18" s="24">
        <f>IF(AND(AV$5&lt;=$E18,AV$5+6&gt;=$D18),"■","")</f>
        <v/>
      </c>
    </row>
    <row r="19" ht="42" customHeight="1">
      <c r="A19" s="11">
        <f>'History'!A15</f>
        <v/>
      </c>
      <c r="B19" s="59">
        <f>'History'!B15</f>
        <v/>
      </c>
      <c r="C19" s="11">
        <f>'History'!C15</f>
        <v/>
      </c>
      <c r="D19" s="47">
        <f>'History'!D15</f>
        <v/>
      </c>
      <c r="E19" s="47">
        <f>'History'!E15</f>
        <v/>
      </c>
      <c r="F19" s="11">
        <f>'History'!G15</f>
        <v/>
      </c>
      <c r="G19" s="11">
        <f>IF($E19&lt;$B$3,"Plan elapsed",IF($D19&lt;=$B$3,"In plan window","Future"))</f>
        <v/>
      </c>
      <c r="H19" s="11">
        <f>'History'!M15</f>
        <v/>
      </c>
      <c r="I19" s="11">
        <f>'History'!N15</f>
        <v/>
      </c>
      <c r="J19" s="26">
        <f>IF(AND(J$5&lt;=$E19,J$5+6&gt;=$D19),"■","")</f>
        <v/>
      </c>
      <c r="K19" s="26">
        <f>IF(AND(K$5&lt;=$E19,K$5+6&gt;=$D19),"■","")</f>
        <v/>
      </c>
      <c r="L19" s="26">
        <f>IF(AND(L$5&lt;=$E19,L$5+6&gt;=$D19),"■","")</f>
        <v/>
      </c>
      <c r="M19" s="26">
        <f>IF(AND(M$5&lt;=$E19,M$5+6&gt;=$D19),"■","")</f>
        <v/>
      </c>
      <c r="N19" s="26">
        <f>IF(AND(N$5&lt;=$E19,N$5+6&gt;=$D19),"■","")</f>
        <v/>
      </c>
      <c r="O19" s="26">
        <f>IF(AND(O$5&lt;=$E19,O$5+6&gt;=$D19),"■","")</f>
        <v/>
      </c>
      <c r="P19" s="26">
        <f>IF(AND(P$5&lt;=$E19,P$5+6&gt;=$D19),"■","")</f>
        <v/>
      </c>
      <c r="Q19" s="26">
        <f>IF(AND(Q$5&lt;=$E19,Q$5+6&gt;=$D19),"■","")</f>
        <v/>
      </c>
      <c r="R19" s="26">
        <f>IF(AND(R$5&lt;=$E19,R$5+6&gt;=$D19),"■","")</f>
        <v/>
      </c>
      <c r="S19" s="26">
        <f>IF(AND(S$5&lt;=$E19,S$5+6&gt;=$D19),"■","")</f>
        <v/>
      </c>
      <c r="T19" s="26">
        <f>IF(AND(T$5&lt;=$E19,T$5+6&gt;=$D19),"■","")</f>
        <v/>
      </c>
      <c r="U19" s="26">
        <f>IF(AND(U$5&lt;=$E19,U$5+6&gt;=$D19),"■","")</f>
        <v/>
      </c>
      <c r="V19" s="26">
        <f>IF(AND(V$5&lt;=$E19,V$5+6&gt;=$D19),"■","")</f>
        <v/>
      </c>
      <c r="W19" s="26">
        <f>IF(AND(W$5&lt;=$E19,W$5+6&gt;=$D19),"■","")</f>
        <v/>
      </c>
      <c r="X19" s="26">
        <f>IF(AND(X$5&lt;=$E19,X$5+6&gt;=$D19),"■","")</f>
        <v/>
      </c>
      <c r="Y19" s="26">
        <f>IF(AND(Y$5&lt;=$E19,Y$5+6&gt;=$D19),"■","")</f>
        <v/>
      </c>
      <c r="Z19" s="26">
        <f>IF(AND(Z$5&lt;=$E19,Z$5+6&gt;=$D19),"■","")</f>
        <v/>
      </c>
      <c r="AA19" s="26">
        <f>IF(AND(AA$5&lt;=$E19,AA$5+6&gt;=$D19),"■","")</f>
        <v/>
      </c>
      <c r="AB19" s="26">
        <f>IF(AND(AB$5&lt;=$E19,AB$5+6&gt;=$D19),"■","")</f>
        <v/>
      </c>
      <c r="AC19" s="26">
        <f>IF(AND(AC$5&lt;=$E19,AC$5+6&gt;=$D19),"■","")</f>
        <v/>
      </c>
      <c r="AD19" s="26">
        <f>IF(AND(AD$5&lt;=$E19,AD$5+6&gt;=$D19),"■","")</f>
        <v/>
      </c>
      <c r="AE19" s="26">
        <f>IF(AND(AE$5&lt;=$E19,AE$5+6&gt;=$D19),"■","")</f>
        <v/>
      </c>
      <c r="AF19" s="26">
        <f>IF(AND(AF$5&lt;=$E19,AF$5+6&gt;=$D19),"■","")</f>
        <v/>
      </c>
      <c r="AG19" s="26">
        <f>IF(AND(AG$5&lt;=$E19,AG$5+6&gt;=$D19),"■","")</f>
        <v/>
      </c>
      <c r="AH19" s="26">
        <f>IF(AND(AH$5&lt;=$E19,AH$5+6&gt;=$D19),"■","")</f>
        <v/>
      </c>
      <c r="AI19" s="26">
        <f>IF(AND(AI$5&lt;=$E19,AI$5+6&gt;=$D19),"■","")</f>
        <v/>
      </c>
      <c r="AJ19" s="26">
        <f>IF(AND(AJ$5&lt;=$E19,AJ$5+6&gt;=$D19),"■","")</f>
        <v/>
      </c>
      <c r="AK19" s="26">
        <f>IF(AND(AK$5&lt;=$E19,AK$5+6&gt;=$D19),"■","")</f>
        <v/>
      </c>
      <c r="AL19" s="26">
        <f>IF(AND(AL$5&lt;=$E19,AL$5+6&gt;=$D19),"■","")</f>
        <v/>
      </c>
      <c r="AM19" s="26">
        <f>IF(AND(AM$5&lt;=$E19,AM$5+6&gt;=$D19),"■","")</f>
        <v/>
      </c>
      <c r="AN19" s="26">
        <f>IF(AND(AN$5&lt;=$E19,AN$5+6&gt;=$D19),"■","")</f>
        <v/>
      </c>
      <c r="AO19" s="26">
        <f>IF(AND(AO$5&lt;=$E19,AO$5+6&gt;=$D19),"■","")</f>
        <v/>
      </c>
      <c r="AP19" s="26">
        <f>IF(AND(AP$5&lt;=$E19,AP$5+6&gt;=$D19),"■","")</f>
        <v/>
      </c>
      <c r="AQ19" s="26">
        <f>IF(AND(AQ$5&lt;=$E19,AQ$5+6&gt;=$D19),"■","")</f>
        <v/>
      </c>
      <c r="AR19" s="26">
        <f>IF(AND(AR$5&lt;=$E19,AR$5+6&gt;=$D19),"■","")</f>
        <v/>
      </c>
      <c r="AS19" s="26">
        <f>IF(AND(AS$5&lt;=$E19,AS$5+6&gt;=$D19),"■","")</f>
        <v/>
      </c>
      <c r="AT19" s="26">
        <f>IF(AND(AT$5&lt;=$E19,AT$5+6&gt;=$D19),"■","")</f>
        <v/>
      </c>
      <c r="AU19" s="60">
        <f>IF(AND(AU$5&lt;=$E19,AU$5+6&gt;=$D19),"■","")</f>
        <v/>
      </c>
      <c r="AV19" s="26">
        <f>IF(AND(AV$5&lt;=$E19,AV$5+6&gt;=$D19),"■","")</f>
        <v/>
      </c>
    </row>
    <row r="20" ht="42" customHeight="1">
      <c r="A20" s="11">
        <f>'History'!A16</f>
        <v/>
      </c>
      <c r="B20" s="59">
        <f>'History'!B16</f>
        <v/>
      </c>
      <c r="C20" s="11">
        <f>'History'!C16</f>
        <v/>
      </c>
      <c r="D20" s="47">
        <f>'History'!D16</f>
        <v/>
      </c>
      <c r="E20" s="47">
        <f>'History'!E16</f>
        <v/>
      </c>
      <c r="F20" s="11">
        <f>'History'!G16</f>
        <v/>
      </c>
      <c r="G20" s="11">
        <f>IF($E20&lt;$B$3,"Plan elapsed",IF($D20&lt;=$B$3,"In plan window","Future"))</f>
        <v/>
      </c>
      <c r="H20" s="11">
        <f>'History'!M16</f>
        <v/>
      </c>
      <c r="I20" s="11">
        <f>'History'!N16</f>
        <v/>
      </c>
      <c r="J20" s="26">
        <f>IF(AND(J$5&lt;=$E20,J$5+6&gt;=$D20),"■","")</f>
        <v/>
      </c>
      <c r="K20" s="26">
        <f>IF(AND(K$5&lt;=$E20,K$5+6&gt;=$D20),"■","")</f>
        <v/>
      </c>
      <c r="L20" s="26">
        <f>IF(AND(L$5&lt;=$E20,L$5+6&gt;=$D20),"■","")</f>
        <v/>
      </c>
      <c r="M20" s="26">
        <f>IF(AND(M$5&lt;=$E20,M$5+6&gt;=$D20),"■","")</f>
        <v/>
      </c>
      <c r="N20" s="26">
        <f>IF(AND(N$5&lt;=$E20,N$5+6&gt;=$D20),"■","")</f>
        <v/>
      </c>
      <c r="O20" s="26">
        <f>IF(AND(O$5&lt;=$E20,O$5+6&gt;=$D20),"■","")</f>
        <v/>
      </c>
      <c r="P20" s="26">
        <f>IF(AND(P$5&lt;=$E20,P$5+6&gt;=$D20),"■","")</f>
        <v/>
      </c>
      <c r="Q20" s="26">
        <f>IF(AND(Q$5&lt;=$E20,Q$5+6&gt;=$D20),"■","")</f>
        <v/>
      </c>
      <c r="R20" s="26">
        <f>IF(AND(R$5&lt;=$E20,R$5+6&gt;=$D20),"■","")</f>
        <v/>
      </c>
      <c r="S20" s="26">
        <f>IF(AND(S$5&lt;=$E20,S$5+6&gt;=$D20),"■","")</f>
        <v/>
      </c>
      <c r="T20" s="26">
        <f>IF(AND(T$5&lt;=$E20,T$5+6&gt;=$D20),"■","")</f>
        <v/>
      </c>
      <c r="U20" s="26">
        <f>IF(AND(U$5&lt;=$E20,U$5+6&gt;=$D20),"■","")</f>
        <v/>
      </c>
      <c r="V20" s="26">
        <f>IF(AND(V$5&lt;=$E20,V$5+6&gt;=$D20),"■","")</f>
        <v/>
      </c>
      <c r="W20" s="26">
        <f>IF(AND(W$5&lt;=$E20,W$5+6&gt;=$D20),"■","")</f>
        <v/>
      </c>
      <c r="X20" s="26">
        <f>IF(AND(X$5&lt;=$E20,X$5+6&gt;=$D20),"■","")</f>
        <v/>
      </c>
      <c r="Y20" s="26">
        <f>IF(AND(Y$5&lt;=$E20,Y$5+6&gt;=$D20),"■","")</f>
        <v/>
      </c>
      <c r="Z20" s="26">
        <f>IF(AND(Z$5&lt;=$E20,Z$5+6&gt;=$D20),"■","")</f>
        <v/>
      </c>
      <c r="AA20" s="26">
        <f>IF(AND(AA$5&lt;=$E20,AA$5+6&gt;=$D20),"■","")</f>
        <v/>
      </c>
      <c r="AB20" s="26">
        <f>IF(AND(AB$5&lt;=$E20,AB$5+6&gt;=$D20),"■","")</f>
        <v/>
      </c>
      <c r="AC20" s="26">
        <f>IF(AND(AC$5&lt;=$E20,AC$5+6&gt;=$D20),"■","")</f>
        <v/>
      </c>
      <c r="AD20" s="26">
        <f>IF(AND(AD$5&lt;=$E20,AD$5+6&gt;=$D20),"■","")</f>
        <v/>
      </c>
      <c r="AE20" s="26">
        <f>IF(AND(AE$5&lt;=$E20,AE$5+6&gt;=$D20),"■","")</f>
        <v/>
      </c>
      <c r="AF20" s="26">
        <f>IF(AND(AF$5&lt;=$E20,AF$5+6&gt;=$D20),"■","")</f>
        <v/>
      </c>
      <c r="AG20" s="26">
        <f>IF(AND(AG$5&lt;=$E20,AG$5+6&gt;=$D20),"■","")</f>
        <v/>
      </c>
      <c r="AH20" s="26">
        <f>IF(AND(AH$5&lt;=$E20,AH$5+6&gt;=$D20),"■","")</f>
        <v/>
      </c>
      <c r="AI20" s="26">
        <f>IF(AND(AI$5&lt;=$E20,AI$5+6&gt;=$D20),"■","")</f>
        <v/>
      </c>
      <c r="AJ20" s="26">
        <f>IF(AND(AJ$5&lt;=$E20,AJ$5+6&gt;=$D20),"■","")</f>
        <v/>
      </c>
      <c r="AK20" s="26">
        <f>IF(AND(AK$5&lt;=$E20,AK$5+6&gt;=$D20),"■","")</f>
        <v/>
      </c>
      <c r="AL20" s="26">
        <f>IF(AND(AL$5&lt;=$E20,AL$5+6&gt;=$D20),"■","")</f>
        <v/>
      </c>
      <c r="AM20" s="26">
        <f>IF(AND(AM$5&lt;=$E20,AM$5+6&gt;=$D20),"■","")</f>
        <v/>
      </c>
      <c r="AN20" s="26">
        <f>IF(AND(AN$5&lt;=$E20,AN$5+6&gt;=$D20),"■","")</f>
        <v/>
      </c>
      <c r="AO20" s="26">
        <f>IF(AND(AO$5&lt;=$E20,AO$5+6&gt;=$D20),"■","")</f>
        <v/>
      </c>
      <c r="AP20" s="26">
        <f>IF(AND(AP$5&lt;=$E20,AP$5+6&gt;=$D20),"■","")</f>
        <v/>
      </c>
      <c r="AQ20" s="26">
        <f>IF(AND(AQ$5&lt;=$E20,AQ$5+6&gt;=$D20),"■","")</f>
        <v/>
      </c>
      <c r="AR20" s="26">
        <f>IF(AND(AR$5&lt;=$E20,AR$5+6&gt;=$D20),"■","")</f>
        <v/>
      </c>
      <c r="AS20" s="26">
        <f>IF(AND(AS$5&lt;=$E20,AS$5+6&gt;=$D20),"■","")</f>
        <v/>
      </c>
      <c r="AT20" s="26">
        <f>IF(AND(AT$5&lt;=$E20,AT$5+6&gt;=$D20),"■","")</f>
        <v/>
      </c>
      <c r="AU20" s="60">
        <f>IF(AND(AU$5&lt;=$E20,AU$5+6&gt;=$D20),"■","")</f>
        <v/>
      </c>
      <c r="AV20" s="26">
        <f>IF(AND(AV$5&lt;=$E20,AV$5+6&gt;=$D20),"■","")</f>
        <v/>
      </c>
    </row>
  </sheetData>
  <autoFilter ref="A5:AV20"/>
  <mergeCells count="2">
    <mergeCell ref="A1:AV1"/>
    <mergeCell ref="A2:AV2"/>
  </mergeCells>
  <conditionalFormatting sqref="G6:G20">
    <cfRule type="expression" priority="1" dxfId="0">
      <formula>$G6="Plan elapsed"</formula>
    </cfRule>
  </conditionalFormatting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14" customWidth="1" min="4" max="4"/>
    <col width="14" customWidth="1" min="5" max="5"/>
    <col width="13" customWidth="1" min="6" max="6"/>
    <col width="20" customWidth="1" min="7" max="7"/>
    <col width="24" customWidth="1" min="8" max="8"/>
    <col width="12" customWidth="1" min="9" max="9"/>
    <col width="16" customWidth="1" min="10" max="10"/>
    <col width="34" customWidth="1" min="11" max="11"/>
    <col width="16" customWidth="1" min="12" max="12"/>
    <col width="18" customWidth="1" min="13" max="13"/>
    <col width="48" customWidth="1" min="14" max="14"/>
  </cols>
  <sheetData>
    <row r="1" ht="30" customHeight="1">
      <c r="A1" s="43" t="inlineStr">
        <is>
          <t>ID</t>
        </is>
      </c>
      <c r="B1" s="43" t="inlineStr">
        <is>
          <t>Phase</t>
        </is>
      </c>
      <c r="C1" s="43" t="inlineStr">
        <is>
          <t>Task</t>
        </is>
      </c>
      <c r="D1" s="43" t="inlineStr">
        <is>
          <t>Planned Start</t>
        </is>
      </c>
      <c r="E1" s="43" t="inlineStr">
        <is>
          <t>Planned End</t>
        </is>
      </c>
      <c r="F1" s="43" t="inlineStr">
        <is>
          <t>Duration (days)</t>
        </is>
      </c>
      <c r="G1" s="43" t="inlineStr">
        <is>
          <t>Original Period Label</t>
        </is>
      </c>
      <c r="H1" s="43" t="inlineStr">
        <is>
          <t>Source Workbook</t>
        </is>
      </c>
      <c r="I1" s="43" t="inlineStr">
        <is>
          <t>Source Sheet</t>
        </is>
      </c>
      <c r="J1" s="43" t="inlineStr">
        <is>
          <t>Source Cell/Span</t>
        </is>
      </c>
      <c r="K1" s="43" t="inlineStr">
        <is>
          <t>Date Basis</t>
        </is>
      </c>
      <c r="L1" s="43" t="inlineStr">
        <is>
          <t>Increment</t>
        </is>
      </c>
      <c r="M1" s="43" t="inlineStr">
        <is>
          <t>Reported Status</t>
        </is>
      </c>
      <c r="N1" s="43" t="inlineStr">
        <is>
          <t>Notes</t>
        </is>
      </c>
    </row>
    <row r="2" ht="38" customHeight="1">
      <c r="A2" s="61" t="n">
        <v>1</v>
      </c>
      <c r="B2" s="62" t="inlineStr">
        <is>
          <t>Requirements</t>
        </is>
      </c>
      <c r="C2" s="61" t="inlineStr">
        <is>
          <t>Interview with Vetfocus Clinic &amp; identify system modules</t>
        </is>
      </c>
      <c r="D2" s="63" t="n">
        <v>46023</v>
      </c>
      <c r="E2" s="63" t="n">
        <v>46112</v>
      </c>
      <c r="F2" s="64">
        <f>E2-D2+1</f>
        <v/>
      </c>
      <c r="G2" s="61" t="inlineStr">
        <is>
          <t>January-March 2026</t>
        </is>
      </c>
      <c r="H2" s="61" t="inlineStr">
        <is>
          <t>saving one gantt.xlsx</t>
        </is>
      </c>
      <c r="I2" s="61" t="inlineStr">
        <is>
          <t>Sheet1</t>
        </is>
      </c>
      <c r="J2" s="61" t="inlineStr">
        <is>
          <t>F11:G12</t>
        </is>
      </c>
      <c r="K2" s="61" t="inlineStr">
        <is>
          <t>Month range stated in source header</t>
        </is>
      </c>
      <c r="L2" s="61" t="inlineStr">
        <is>
          <t>Preparation</t>
        </is>
      </c>
      <c r="M2" s="61" t="inlineStr">
        <is>
          <t>Not documented</t>
        </is>
      </c>
      <c r="N2" s="61" t="inlineStr">
        <is>
          <t>Spelling normalized from the source workbook.</t>
        </is>
      </c>
    </row>
    <row r="3" ht="38" customHeight="1">
      <c r="A3" s="61" t="n">
        <v>2</v>
      </c>
      <c r="B3" s="62" t="inlineStr">
        <is>
          <t>Requirements</t>
        </is>
      </c>
      <c r="C3" s="61" t="inlineStr">
        <is>
          <t>Identify system modules</t>
        </is>
      </c>
      <c r="D3" s="63" t="n">
        <v>46113</v>
      </c>
      <c r="E3" s="63" t="n">
        <v>46122</v>
      </c>
      <c r="F3" s="64">
        <f>E3-D3+1</f>
        <v/>
      </c>
      <c r="G3" s="61" t="inlineStr">
        <is>
          <t>April 1-10, 2026</t>
        </is>
      </c>
      <c r="H3" s="61" t="inlineStr">
        <is>
          <t>saving one gantt.xlsx</t>
        </is>
      </c>
      <c r="I3" s="61" t="inlineStr">
        <is>
          <t>Sheet1</t>
        </is>
      </c>
      <c r="J3" s="61" t="inlineStr">
        <is>
          <t>I11:R12</t>
        </is>
      </c>
      <c r="K3" s="61" t="inlineStr">
        <is>
          <t>Exact dates stated in source</t>
        </is>
      </c>
      <c r="L3" s="61" t="inlineStr">
        <is>
          <t>Increment 1</t>
        </is>
      </c>
      <c r="M3" s="61" t="inlineStr">
        <is>
          <t>Not documented</t>
        </is>
      </c>
      <c r="N3" s="61" t="inlineStr"/>
    </row>
    <row r="4" ht="38" customHeight="1">
      <c r="A4" s="61" t="n">
        <v>3</v>
      </c>
      <c r="B4" s="62" t="inlineStr">
        <is>
          <t>Requirements</t>
        </is>
      </c>
      <c r="C4" s="61" t="inlineStr">
        <is>
          <t>Identify system modules - follow-up</t>
        </is>
      </c>
      <c r="D4" s="63" t="n">
        <v>46160</v>
      </c>
      <c r="E4" s="63" t="n">
        <v>46165</v>
      </c>
      <c r="F4" s="64">
        <f>E4-D4+1</f>
        <v/>
      </c>
      <c r="G4" s="61" t="inlineStr">
        <is>
          <t>May 2026</t>
        </is>
      </c>
      <c r="H4" s="61" t="inlineStr">
        <is>
          <t>saving one gantt.xlsx</t>
        </is>
      </c>
      <c r="I4" s="61" t="inlineStr">
        <is>
          <t>Sheet1</t>
        </is>
      </c>
      <c r="J4" s="61" t="inlineStr">
        <is>
          <t>AN11:AQ12</t>
        </is>
      </c>
      <c r="K4" s="61" t="inlineStr">
        <is>
          <t>Approximate dates inferred from bar position</t>
        </is>
      </c>
      <c r="L4" s="61" t="inlineStr">
        <is>
          <t>Increment 2</t>
        </is>
      </c>
      <c r="M4" s="61" t="inlineStr">
        <is>
          <t>Not documented</t>
        </is>
      </c>
      <c r="N4" s="61" t="inlineStr">
        <is>
          <t>Use the original source if exact May dates become available.</t>
        </is>
      </c>
    </row>
    <row r="5" ht="38" customHeight="1">
      <c r="A5" s="61" t="n">
        <v>4</v>
      </c>
      <c r="B5" s="65" t="inlineStr">
        <is>
          <t>Design Phase</t>
        </is>
      </c>
      <c r="C5" s="61" t="inlineStr">
        <is>
          <t>Design user access</t>
        </is>
      </c>
      <c r="D5" s="63" t="n">
        <v>46128</v>
      </c>
      <c r="E5" s="63" t="n">
        <v>46135</v>
      </c>
      <c r="F5" s="64">
        <f>E5-D5+1</f>
        <v/>
      </c>
      <c r="G5" s="61" t="inlineStr">
        <is>
          <t>April 2026</t>
        </is>
      </c>
      <c r="H5" s="61" t="inlineStr">
        <is>
          <t>saving one gantt.xlsx</t>
        </is>
      </c>
      <c r="I5" s="61" t="inlineStr">
        <is>
          <t>Sheet1</t>
        </is>
      </c>
      <c r="J5" s="61" t="inlineStr">
        <is>
          <t>S13:W14</t>
        </is>
      </c>
      <c r="K5" s="61" t="inlineStr">
        <is>
          <t>Approximate dates inferred from bar position</t>
        </is>
      </c>
      <c r="L5" s="61" t="inlineStr">
        <is>
          <t>Increment 1</t>
        </is>
      </c>
      <c r="M5" s="61" t="inlineStr">
        <is>
          <t>Not documented</t>
        </is>
      </c>
      <c r="N5" s="61" t="inlineStr"/>
    </row>
    <row r="6" ht="38" customHeight="1">
      <c r="A6" s="61" t="n">
        <v>5</v>
      </c>
      <c r="B6" s="65" t="inlineStr">
        <is>
          <t>Design Phase</t>
        </is>
      </c>
      <c r="C6" s="61" t="inlineStr">
        <is>
          <t>Design role management</t>
        </is>
      </c>
      <c r="D6" s="63" t="n">
        <v>46162</v>
      </c>
      <c r="E6" s="63" t="n">
        <v>46169</v>
      </c>
      <c r="F6" s="64">
        <f>E6-D6+1</f>
        <v/>
      </c>
      <c r="G6" s="61" t="inlineStr">
        <is>
          <t>May 2026</t>
        </is>
      </c>
      <c r="H6" s="61" t="inlineStr">
        <is>
          <t>saving one gantt.xlsx</t>
        </is>
      </c>
      <c r="I6" s="61" t="inlineStr">
        <is>
          <t>Sheet1</t>
        </is>
      </c>
      <c r="J6" s="61" t="inlineStr">
        <is>
          <t>AP13:AT14</t>
        </is>
      </c>
      <c r="K6" s="61" t="inlineStr">
        <is>
          <t>Approximate dates inferred from bar position</t>
        </is>
      </c>
      <c r="L6" s="61" t="inlineStr">
        <is>
          <t>Increment 2</t>
        </is>
      </c>
      <c r="M6" s="61" t="inlineStr">
        <is>
          <t>Not documented</t>
        </is>
      </c>
      <c r="N6" s="61" t="inlineStr"/>
    </row>
    <row r="7" ht="38" customHeight="1">
      <c r="A7" s="61" t="n">
        <v>6</v>
      </c>
      <c r="B7" s="66" t="inlineStr">
        <is>
          <t>System Dev 1</t>
        </is>
      </c>
      <c r="C7" s="61" t="inlineStr">
        <is>
          <t>Landing page development</t>
        </is>
      </c>
      <c r="D7" s="63" t="n">
        <v>46136</v>
      </c>
      <c r="E7" s="63" t="n">
        <v>46142</v>
      </c>
      <c r="F7" s="64">
        <f>E7-D7+1</f>
        <v/>
      </c>
      <c r="G7" s="61" t="inlineStr">
        <is>
          <t>April 2026</t>
        </is>
      </c>
      <c r="H7" s="61" t="inlineStr">
        <is>
          <t>saving one gantt.xlsx</t>
        </is>
      </c>
      <c r="I7" s="61" t="inlineStr">
        <is>
          <t>Sheet1</t>
        </is>
      </c>
      <c r="J7" s="61" t="inlineStr">
        <is>
          <t>X16:AB17</t>
        </is>
      </c>
      <c r="K7" s="61" t="inlineStr">
        <is>
          <t>Approximate dates inferred from bar position</t>
        </is>
      </c>
      <c r="L7" s="61" t="inlineStr">
        <is>
          <t>Increment 1</t>
        </is>
      </c>
      <c r="M7" s="61" t="inlineStr">
        <is>
          <t>Not documented</t>
        </is>
      </c>
      <c r="N7" s="61" t="inlineStr"/>
    </row>
    <row r="8" ht="38" customHeight="1">
      <c r="A8" s="61" t="n">
        <v>7</v>
      </c>
      <c r="B8" s="66" t="inlineStr">
        <is>
          <t>System Dev 1</t>
        </is>
      </c>
      <c r="C8" s="61" t="inlineStr">
        <is>
          <t>User profiles</t>
        </is>
      </c>
      <c r="D8" s="63" t="n">
        <v>46167</v>
      </c>
      <c r="E8" s="63" t="n">
        <v>46173</v>
      </c>
      <c r="F8" s="64">
        <f>E8-D8+1</f>
        <v/>
      </c>
      <c r="G8" s="61" t="inlineStr">
        <is>
          <t>May 2026</t>
        </is>
      </c>
      <c r="H8" s="61" t="inlineStr">
        <is>
          <t>saving one gantt.xlsx</t>
        </is>
      </c>
      <c r="I8" s="61" t="inlineStr">
        <is>
          <t>Sheet1</t>
        </is>
      </c>
      <c r="J8" s="61" t="inlineStr">
        <is>
          <t>AS16:AW17</t>
        </is>
      </c>
      <c r="K8" s="61" t="inlineStr">
        <is>
          <t>Approximate dates inferred from bar position</t>
        </is>
      </c>
      <c r="L8" s="61" t="inlineStr">
        <is>
          <t>Increment 2</t>
        </is>
      </c>
      <c r="M8" s="61" t="inlineStr">
        <is>
          <t>Not documented</t>
        </is>
      </c>
      <c r="N8" s="61" t="inlineStr"/>
    </row>
    <row r="9" ht="38" customHeight="1">
      <c r="A9" s="61" t="n">
        <v>8</v>
      </c>
      <c r="B9" s="67" t="inlineStr">
        <is>
          <t>System Dev 2</t>
        </is>
      </c>
      <c r="C9" s="61" t="inlineStr">
        <is>
          <t>Register and login page</t>
        </is>
      </c>
      <c r="D9" s="63" t="n">
        <v>46140</v>
      </c>
      <c r="E9" s="63" t="n">
        <v>46145</v>
      </c>
      <c r="F9" s="64">
        <f>E9-D9+1</f>
        <v/>
      </c>
      <c r="G9" s="61" t="inlineStr">
        <is>
          <t>April-May 2026</t>
        </is>
      </c>
      <c r="H9" s="61" t="inlineStr">
        <is>
          <t>saving one gantt.xlsx</t>
        </is>
      </c>
      <c r="I9" s="61" t="inlineStr">
        <is>
          <t>Sheet1</t>
        </is>
      </c>
      <c r="J9" s="61" t="inlineStr">
        <is>
          <t>AA18:AD19</t>
        </is>
      </c>
      <c r="K9" s="61" t="inlineStr">
        <is>
          <t>Approximate dates inferred from bar position</t>
        </is>
      </c>
      <c r="L9" s="61" t="inlineStr">
        <is>
          <t>Increment 1</t>
        </is>
      </c>
      <c r="M9" s="61" t="inlineStr">
        <is>
          <t>Not documented</t>
        </is>
      </c>
      <c r="N9" s="61" t="inlineStr"/>
    </row>
    <row r="10" ht="38" customHeight="1">
      <c r="A10" s="61" t="n">
        <v>9</v>
      </c>
      <c r="B10" s="67" t="inlineStr">
        <is>
          <t>System Dev 2</t>
        </is>
      </c>
      <c r="C10" s="61" t="inlineStr">
        <is>
          <t>Accounts management module</t>
        </is>
      </c>
      <c r="D10" s="63" t="n">
        <v>46171</v>
      </c>
      <c r="E10" s="63" t="n">
        <v>46181</v>
      </c>
      <c r="F10" s="64">
        <f>E10-D10+1</f>
        <v/>
      </c>
      <c r="G10" s="61" t="inlineStr">
        <is>
          <t>May-June 2026</t>
        </is>
      </c>
      <c r="H10" s="61" t="inlineStr">
        <is>
          <t>saving one gantt.xlsx</t>
        </is>
      </c>
      <c r="I10" s="61" t="inlineStr">
        <is>
          <t>Sheet1</t>
        </is>
      </c>
      <c r="J10" s="61" t="inlineStr">
        <is>
          <t>AV18:BB19</t>
        </is>
      </c>
      <c r="K10" s="61" t="inlineStr">
        <is>
          <t>Approximate dates inferred from bar position</t>
        </is>
      </c>
      <c r="L10" s="61" t="inlineStr">
        <is>
          <t>Increment 2</t>
        </is>
      </c>
      <c r="M10" s="61" t="inlineStr">
        <is>
          <t>Not documented</t>
        </is>
      </c>
      <c r="N10" s="61" t="inlineStr"/>
    </row>
    <row r="11" ht="38" customHeight="1">
      <c r="A11" s="61" t="n">
        <v>10</v>
      </c>
      <c r="B11" s="68" t="inlineStr">
        <is>
          <t>System Dev 3</t>
        </is>
      </c>
      <c r="C11" s="61" t="inlineStr">
        <is>
          <t>User registration</t>
        </is>
      </c>
      <c r="D11" s="63" t="n">
        <v>46144</v>
      </c>
      <c r="E11" s="63" t="n">
        <v>46151</v>
      </c>
      <c r="F11" s="64">
        <f>E11-D11+1</f>
        <v/>
      </c>
      <c r="G11" s="61" t="inlineStr">
        <is>
          <t>May 2026</t>
        </is>
      </c>
      <c r="H11" s="61" t="inlineStr">
        <is>
          <t>saving one gantt.xlsx</t>
        </is>
      </c>
      <c r="I11" s="61" t="inlineStr">
        <is>
          <t>Sheet1</t>
        </is>
      </c>
      <c r="J11" s="61" t="inlineStr">
        <is>
          <t>AD20:AH21</t>
        </is>
      </c>
      <c r="K11" s="61" t="inlineStr">
        <is>
          <t>Approximate dates inferred from bar position</t>
        </is>
      </c>
      <c r="L11" s="61" t="inlineStr">
        <is>
          <t>Increment 1</t>
        </is>
      </c>
      <c r="M11" s="61" t="inlineStr">
        <is>
          <t>Not documented</t>
        </is>
      </c>
      <c r="N11" s="61" t="inlineStr">
        <is>
          <t>The adjacent 2031 placeholder date was ignored because the task bar is under May 2026.</t>
        </is>
      </c>
    </row>
    <row r="12" ht="38" customHeight="1">
      <c r="A12" s="61" t="n">
        <v>11</v>
      </c>
      <c r="B12" s="68" t="inlineStr">
        <is>
          <t>System Dev 3</t>
        </is>
      </c>
      <c r="C12" s="61" t="inlineStr">
        <is>
          <t>Role-based logic control</t>
        </is>
      </c>
      <c r="D12" s="63" t="n">
        <v>46177</v>
      </c>
      <c r="E12" s="63" t="n">
        <v>46187</v>
      </c>
      <c r="F12" s="64">
        <f>E12-D12+1</f>
        <v/>
      </c>
      <c r="G12" s="61" t="inlineStr">
        <is>
          <t>May-June 2026</t>
        </is>
      </c>
      <c r="H12" s="61" t="inlineStr">
        <is>
          <t>saving one gantt.xlsx</t>
        </is>
      </c>
      <c r="I12" s="61" t="inlineStr">
        <is>
          <t>Sheet1</t>
        </is>
      </c>
      <c r="J12" s="61" t="inlineStr">
        <is>
          <t>AZ20:BF21</t>
        </is>
      </c>
      <c r="K12" s="61" t="inlineStr">
        <is>
          <t>Approximate dates inferred from bar position</t>
        </is>
      </c>
      <c r="L12" s="61" t="inlineStr">
        <is>
          <t>Increment 2</t>
        </is>
      </c>
      <c r="M12" s="61" t="inlineStr">
        <is>
          <t>Not documented</t>
        </is>
      </c>
      <c r="N12" s="61" t="inlineStr">
        <is>
          <t>The adjacent 2031 placeholder date was ignored.</t>
        </is>
      </c>
    </row>
    <row r="13" ht="38" customHeight="1">
      <c r="A13" s="61" t="n">
        <v>12</v>
      </c>
      <c r="B13" s="69" t="inlineStr">
        <is>
          <t>System Dev 4</t>
        </is>
      </c>
      <c r="C13" s="61" t="inlineStr">
        <is>
          <t>Admin and veterinarian account creation page</t>
        </is>
      </c>
      <c r="D13" s="63" t="n">
        <v>46149</v>
      </c>
      <c r="E13" s="63" t="n">
        <v>46157</v>
      </c>
      <c r="F13" s="64">
        <f>E13-D13+1</f>
        <v/>
      </c>
      <c r="G13" s="61" t="inlineStr">
        <is>
          <t>May 2026</t>
        </is>
      </c>
      <c r="H13" s="61" t="inlineStr">
        <is>
          <t>saving one gantt.xlsx</t>
        </is>
      </c>
      <c r="I13" s="61" t="inlineStr">
        <is>
          <t>Sheet1</t>
        </is>
      </c>
      <c r="J13" s="61" t="inlineStr">
        <is>
          <t>AG22:AL23</t>
        </is>
      </c>
      <c r="K13" s="61" t="inlineStr">
        <is>
          <t>Approximate dates inferred from bar position</t>
        </is>
      </c>
      <c r="L13" s="61" t="inlineStr">
        <is>
          <t>Increment 1</t>
        </is>
      </c>
      <c r="M13" s="61" t="inlineStr">
        <is>
          <t>Not documented</t>
        </is>
      </c>
      <c r="N13" s="61" t="inlineStr">
        <is>
          <t>The adjacent 2032 placeholder date was ignored.</t>
        </is>
      </c>
    </row>
    <row r="14" ht="38" customHeight="1">
      <c r="A14" s="61" t="n">
        <v>13</v>
      </c>
      <c r="B14" s="69" t="inlineStr">
        <is>
          <t>System Dev 4</t>
        </is>
      </c>
      <c r="C14" s="61" t="inlineStr">
        <is>
          <t>Clinic account monitoring module</t>
        </is>
      </c>
      <c r="D14" s="63" t="n">
        <v>46182</v>
      </c>
      <c r="E14" s="63" t="n">
        <v>46187</v>
      </c>
      <c r="F14" s="64">
        <f>E14-D14+1</f>
        <v/>
      </c>
      <c r="G14" s="61" t="inlineStr">
        <is>
          <t>June 2026</t>
        </is>
      </c>
      <c r="H14" s="61" t="inlineStr">
        <is>
          <t>saving one gantt.xlsx</t>
        </is>
      </c>
      <c r="I14" s="61" t="inlineStr">
        <is>
          <t>Sheet1</t>
        </is>
      </c>
      <c r="J14" s="61" t="inlineStr">
        <is>
          <t>BC22:BF23</t>
        </is>
      </c>
      <c r="K14" s="61" t="inlineStr">
        <is>
          <t>Approximate dates inferred from bar position</t>
        </is>
      </c>
      <c r="L14" s="61" t="inlineStr">
        <is>
          <t>Increment 2</t>
        </is>
      </c>
      <c r="M14" s="61" t="inlineStr">
        <is>
          <t>Not documented</t>
        </is>
      </c>
      <c r="N14" s="61" t="inlineStr">
        <is>
          <t>The adjacent 2032 placeholder date was ignored.</t>
        </is>
      </c>
    </row>
    <row r="15" ht="38" customHeight="1">
      <c r="A15" s="61" t="n">
        <v>14</v>
      </c>
      <c r="B15" s="70" t="inlineStr">
        <is>
          <t>Testing</t>
        </is>
      </c>
      <c r="C15" s="61" t="inlineStr">
        <is>
          <t>Testing - round 1</t>
        </is>
      </c>
      <c r="D15" s="63" t="n">
        <v>46152</v>
      </c>
      <c r="E15" s="63" t="n">
        <v>46154</v>
      </c>
      <c r="F15" s="64">
        <f>E15-D15+1</f>
        <v/>
      </c>
      <c r="G15" s="61" t="inlineStr">
        <is>
          <t>May 2026</t>
        </is>
      </c>
      <c r="H15" s="61" t="inlineStr">
        <is>
          <t>saving one gantt.xlsx</t>
        </is>
      </c>
      <c r="I15" s="61" t="inlineStr">
        <is>
          <t>Sheet1</t>
        </is>
      </c>
      <c r="J15" s="61" t="inlineStr">
        <is>
          <t>AI24:AJ25</t>
        </is>
      </c>
      <c r="K15" s="61" t="inlineStr">
        <is>
          <t>Approximate dates inferred from bar position</t>
        </is>
      </c>
      <c r="L15" s="61" t="inlineStr">
        <is>
          <t>Increment 1</t>
        </is>
      </c>
      <c r="M15" s="61" t="inlineStr">
        <is>
          <t>Not documented</t>
        </is>
      </c>
      <c r="N15" s="61" t="inlineStr">
        <is>
          <t>The adjacent 2033 placeholder date was ignored.</t>
        </is>
      </c>
    </row>
    <row r="16" ht="38" customHeight="1">
      <c r="A16" s="61" t="n">
        <v>15</v>
      </c>
      <c r="B16" s="70" t="inlineStr">
        <is>
          <t>Testing</t>
        </is>
      </c>
      <c r="C16" s="61" t="inlineStr">
        <is>
          <t>Testing - round 2</t>
        </is>
      </c>
      <c r="D16" s="63" t="n">
        <v>46182</v>
      </c>
      <c r="E16" s="63" t="n">
        <v>46184</v>
      </c>
      <c r="F16" s="64">
        <f>E16-D16+1</f>
        <v/>
      </c>
      <c r="G16" s="61" t="inlineStr">
        <is>
          <t>June 2026</t>
        </is>
      </c>
      <c r="H16" s="61" t="inlineStr">
        <is>
          <t>saving one gantt.xlsx</t>
        </is>
      </c>
      <c r="I16" s="61" t="inlineStr">
        <is>
          <t>Sheet1</t>
        </is>
      </c>
      <c r="J16" s="61" t="inlineStr">
        <is>
          <t>BC24:BD25</t>
        </is>
      </c>
      <c r="K16" s="61" t="inlineStr">
        <is>
          <t>Approximate dates inferred from bar position</t>
        </is>
      </c>
      <c r="L16" s="61" t="inlineStr">
        <is>
          <t>Increment 2</t>
        </is>
      </c>
      <c r="M16" s="61" t="inlineStr">
        <is>
          <t>Not documented</t>
        </is>
      </c>
      <c r="N16" s="61" t="inlineStr">
        <is>
          <t>The adjacent 2033 placeholder date was ignored.</t>
        </is>
      </c>
    </row>
  </sheetData>
  <autoFilter ref="A1:N16"/>
  <conditionalFormatting sqref="M2:M16">
    <cfRule type="expression" priority="1" dxfId="1">
      <formula>$M2="Completed"</formula>
    </cfRule>
    <cfRule type="expression" priority="2" dxfId="2">
      <formula>$M2="In progress"</formula>
    </cfRule>
    <cfRule type="expression" priority="3" dxfId="3">
      <formula>$M2="On hold"</formula>
    </cfRule>
  </conditionalFormatting>
  <dataValidations count="1">
    <dataValidation sqref="M2:M16" showDropDown="0" showInputMessage="0" showErrorMessage="0" allowBlank="0" promptTitle="Reported status" prompt="Select a verified status. Default remains Not documented." type="list">
      <formula1>"Not documented,Not started,In progress,Completed,On hold"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2" customWidth="1" min="3" max="3"/>
    <col width="24" customWidth="1" min="4" max="4"/>
    <col width="44" customWidth="1" min="5" max="5"/>
    <col width="56" customWidth="1" min="6" max="6"/>
  </cols>
  <sheetData>
    <row r="1">
      <c r="A1" s="71" t="inlineStr">
        <is>
          <t>Source Workbook Reconciliation</t>
        </is>
      </c>
      <c r="B1" s="71" t="n"/>
      <c r="C1" s="71" t="n"/>
      <c r="D1" s="71" t="n"/>
      <c r="E1" s="71" t="n"/>
      <c r="F1" s="71" t="n"/>
    </row>
    <row r="3">
      <c r="A3" s="72" t="inlineStr">
        <is>
          <t>Source</t>
        </is>
      </c>
      <c r="B3" s="72" t="inlineStr">
        <is>
          <t>Original Path</t>
        </is>
      </c>
      <c r="C3" s="72" t="inlineStr">
        <is>
          <t>Last Modified</t>
        </is>
      </c>
      <c r="D3" s="72" t="inlineStr">
        <is>
          <t>Role</t>
        </is>
      </c>
      <c r="E3" s="72" t="inlineStr">
        <is>
          <t>Content Used</t>
        </is>
      </c>
      <c r="F3" s="72" t="inlineStr">
        <is>
          <t>Notes</t>
        </is>
      </c>
    </row>
    <row r="4" ht="58" customHeight="1">
      <c r="A4" s="61" t="inlineStr">
        <is>
          <t>saving one gantt.xlsx</t>
        </is>
      </c>
      <c r="B4" s="61" t="inlineStr">
        <is>
          <t>D:\CAPSTONE _101\saving one gantt.xlsx</t>
        </is>
      </c>
      <c r="C4" s="73" t="n">
        <v>46105.90841435185</v>
      </c>
      <c r="D4" s="61" t="inlineStr">
        <is>
          <t>Historical task source</t>
        </is>
      </c>
      <c r="E4" s="61" t="inlineStr">
        <is>
          <t>15 planned task bars across requirements, design, development, and testing</t>
        </is>
      </c>
      <c r="F4" s="61" t="inlineStr">
        <is>
          <t>Task text and merged-bar placement were consolidated. Obvious 2031-2033 placeholder labels were not treated as real dates.</t>
        </is>
      </c>
    </row>
    <row r="5" ht="58" customHeight="1">
      <c r="A5" s="61" t="inlineStr">
        <is>
          <t>gantt-chart-template.xlsx</t>
        </is>
      </c>
      <c r="B5" s="61" t="inlineStr">
        <is>
          <t>D:\CAPSTONE _101\gantt-chart-template.xlsx</t>
        </is>
      </c>
      <c r="C5" s="73" t="n">
        <v>46286.5346875</v>
      </c>
      <c r="D5" s="61" t="inlineStr">
        <is>
          <t>Layout/reference template</t>
        </is>
      </c>
      <c r="E5" s="61" t="inlineStr">
        <is>
          <t>Formula-driven weekly Gantt pattern and example structure</t>
        </is>
      </c>
      <c r="F5" s="61" t="inlineStr">
        <is>
          <t>The example tasks dated 2024 were excluded because they are generic template content.</t>
        </is>
      </c>
    </row>
    <row r="7">
      <c r="A7" s="74" t="inlineStr">
        <is>
          <t>Date reconstruction rules</t>
        </is>
      </c>
      <c r="B7" s="74" t="n"/>
      <c r="C7" s="74" t="n"/>
      <c r="D7" s="74" t="n"/>
      <c r="E7" s="74" t="n"/>
      <c r="F7" s="74" t="n"/>
    </row>
    <row r="8" ht="28" customHeight="1">
      <c r="A8" s="75" t="inlineStr">
        <is>
          <t>1. Exact dates were retained where the source explicitly stated them.</t>
        </is>
      </c>
    </row>
    <row r="9" ht="28" customHeight="1">
      <c r="A9" s="75" t="inlineStr">
        <is>
          <t>2. Month-only task bars were converted to approximate dates based on their position within the source month band.</t>
        </is>
      </c>
    </row>
    <row r="10" ht="28" customHeight="1">
      <c r="A10" s="75" t="inlineStr">
        <is>
          <t>3. The original period label and source cell span are retained in History so every approximation is auditable.</t>
        </is>
      </c>
    </row>
    <row r="11" ht="28" customHeight="1">
      <c r="A11" s="75" t="inlineStr">
        <is>
          <t>4. No completion status was inferred. Reported Status defaults to 'Not documented'.</t>
        </is>
      </c>
    </row>
    <row r="12" ht="28" customHeight="1">
      <c r="A12" s="75" t="inlineStr">
        <is>
          <t>5. The red-tinted week in Updated Gantt marks the week containing September 21, 2026.</t>
        </is>
      </c>
    </row>
  </sheetData>
  <mergeCells count="7">
    <mergeCell ref="A11:F11"/>
    <mergeCell ref="A10:F10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2026-09-21T08:13:26Z</dcterms:created>
  <dcterms:modified xmlns:dcterms="http://purl.org/dc/terms/" xmlns:xsi="http://www.w3.org/2001/XMLSchema-instance" xsi:type="dcterms:W3CDTF">2026-09-21T08:13:26Z</dcterms:modified>
</cp:coreProperties>
</file>